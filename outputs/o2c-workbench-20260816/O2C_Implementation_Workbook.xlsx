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373f12105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4fb2560b6774143"/>
    <x:sheet xmlns:r="http://schemas.openxmlformats.org/officeDocument/2006/relationships" name="Configuration" sheetId="2" r:id="R075175ccb6ad4556"/>
    <x:sheet xmlns:r="http://schemas.openxmlformats.org/officeDocument/2006/relationships" name="Source Mapping" sheetId="3" r:id="Rc42c18f101824947"/>
    <x:sheet xmlns:r="http://schemas.openxmlformats.org/officeDocument/2006/relationships" name="Data Quality" sheetId="4" r:id="R524c3fccabc04816"/>
    <x:sheet xmlns:r="http://schemas.openxmlformats.org/officeDocument/2006/relationships" name="KPI Definitions" sheetId="5" r:id="Rd3f17c7587eb4786"/>
    <x:sheet xmlns:r="http://schemas.openxmlformats.org/officeDocument/2006/relationships" name="KPI Benchmark" sheetId="6" r:id="R519f178503964720"/>
    <x:sheet xmlns:r="http://schemas.openxmlformats.org/officeDocument/2006/relationships" name="Requirements" sheetId="7" r:id="R45078c439b634f58"/>
    <x:sheet xmlns:r="http://schemas.openxmlformats.org/officeDocument/2006/relationships" name="UAT Scenarios" sheetId="8" r:id="Rc3bff784d04e483a"/>
    <x:sheet xmlns:r="http://schemas.openxmlformats.org/officeDocument/2006/relationships" name="Cutover" sheetId="9" r:id="R221d46ddb60844aa"/>
    <x:sheet xmlns:r="http://schemas.openxmlformats.org/officeDocument/2006/relationships" name="Go-Live Dashboard" sheetId="10" r:id="R9406d38d7a31487f"/>
    <x:sheet xmlns:r="http://schemas.openxmlformats.org/officeDocument/2006/relationships" name="Checks" sheetId="11" r:id="Ree9d5cb18e654673"/>
    <x:sheet xmlns:r="http://schemas.openxmlformats.org/officeDocument/2006/relationships" name="Sources" sheetId="12" r:id="R474fdeb9952f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0.0%"/>
    <x:numFmt numFmtId="202" formatCode="$#,##0"/>
    <x:numFmt numFmtId="203" formatCode="0.0"/>
    <x:numFmt numFmtId="204" formatCode="0.0&quot;%&quot;"/>
  </x:numFmts>
  <x:fonts count="10">
    <x:font>
      <x:sz val="11"/>
      <x:name val="Carlito"/>
    </x:font>
    <x:font>
      <x:b/>
      <x:sz val="28"/>
      <x:color rgb="FFFFFFFF"/>
      <x:name val="Carlito"/>
    </x:font>
    <x:font>
      <x:b/>
      <x:sz val="14"/>
      <x:color rgb="FFFFFFFF"/>
      <x:name val="Carlito"/>
    </x:font>
    <x:font>
      <x:b/>
      <x:sz val="18"/>
      <x:color rgb="FF0B1F33"/>
      <x:name val="Carlito"/>
    </x:font>
    <x:font>
      <x:b/>
      <x:sz val="11"/>
      <x:color rgb="FF0B1F33"/>
      <x:name val="Carlito"/>
    </x:font>
    <x:font>
      <x:b/>
      <x:sz val="11"/>
      <x:color rgb="FFB56A00"/>
      <x:name val="Carlito"/>
    </x:font>
    <x:font>
      <x:b/>
      <x:sz val="22"/>
      <x:color rgb="FFFFFFFF"/>
      <x:name val="Carlito"/>
    </x:font>
    <x:font>
      <x:i/>
      <x:sz val="10"/>
      <x:color rgb="FF617181"/>
      <x:name val="Carlito"/>
    </x:font>
    <x:font>
      <x:b/>
      <x:sz val="11"/>
      <x:color rgb="FFFFFFFF"/>
      <x:name val="Carlito"/>
    </x:font>
    <x:font>
      <x:sz val="11"/>
      <x:color rgb="FFB56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69AA"/>
      </x:patternFill>
    </x:fill>
    <x:fill>
      <x:patternFill patternType="solid">
        <x:fgColor rgb="FFEAF2F8"/>
      </x:patternFill>
    </x:fill>
    <x:fill>
      <x:patternFill patternType="solid">
        <x:fgColor rgb="FFFFF6DD"/>
      </x:patternFill>
    </x:fill>
    <x:fill>
      <x:patternFill patternType="solid">
        <x:fgColor rgb="FF30B6C9"/>
      </x:patternFill>
    </x:fill>
  </x:fills>
  <x:borders count="10">
    <x:border/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medium">
        <x:color rgb="FFB56A00"/>
      </x:left>
      <x:top style="medium">
        <x:color rgb="FFB56A00"/>
      </x:top>
    </x:border>
    <x:border>
      <x:top style="medium">
        <x:color rgb="FFB56A00"/>
      </x:top>
    </x:border>
    <x:border>
      <x:right style="medium">
        <x:color rgb="FFB56A00"/>
      </x:right>
      <x:top style="medium">
        <x:color rgb="FFB56A00"/>
      </x:top>
    </x:border>
    <x:border>
      <x:left style="medium">
        <x:color rgb="FFB56A00"/>
      </x:left>
    </x:border>
    <x:border>
      <x:right style="medium">
        <x:color rgb="FFB56A00"/>
      </x:right>
    </x:border>
    <x:border>
      <x:left style="medium">
        <x:color rgb="FFB56A00"/>
      </x:left>
      <x:bottom style="medium">
        <x:color rgb="FFB56A00"/>
      </x:bottom>
    </x:border>
    <x:border>
      <x:bottom style="medium">
        <x:color rgb="FFB56A00"/>
      </x:bottom>
    </x:border>
    <x:border>
      <x:right style="medium">
        <x:color rgb="FFB56A00"/>
      </x:right>
      <x:bottom style="medium">
        <x:color rgb="FFB56A00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dfd6b1951439c" /><Relationship Type="http://schemas.openxmlformats.org/officeDocument/2006/relationships/theme" Target="/xl/theme/theme1.xml" Id="R2872ae418f3f4fef" /><Relationship Type="http://schemas.microsoft.com/office/2022/11/relationships/FeaturePropertyBag" Target="/xl/featurePropertyBag/featurePropertyBag.xml" Id="Rbe42134d4e4e41e5" /><Relationship Type="http://schemas.openxmlformats.org/officeDocument/2006/relationships/sharedStrings" Target="/xl/sharedStrings.xml" Id="R9105f8e232cf4490" /><Relationship Type="http://schemas.openxmlformats.org/officeDocument/2006/relationships/worksheet" Target="/xl/worksheets/sheet1.xml" Id="R24fb2560b6774143" /><Relationship Type="http://schemas.openxmlformats.org/officeDocument/2006/relationships/worksheet" Target="/xl/worksheets/sheet2.xml" Id="R075175ccb6ad4556" /><Relationship Type="http://schemas.openxmlformats.org/officeDocument/2006/relationships/worksheet" Target="/xl/worksheets/sheet3.xml" Id="Rc42c18f101824947" /><Relationship Type="http://schemas.openxmlformats.org/officeDocument/2006/relationships/worksheet" Target="/xl/worksheets/sheet4.xml" Id="R524c3fccabc04816" /><Relationship Type="http://schemas.openxmlformats.org/officeDocument/2006/relationships/worksheet" Target="/xl/worksheets/sheet5.xml" Id="Rd3f17c7587eb4786" /><Relationship Type="http://schemas.openxmlformats.org/officeDocument/2006/relationships/worksheet" Target="/xl/worksheets/sheet6.xml" Id="R519f178503964720" /><Relationship Type="http://schemas.openxmlformats.org/officeDocument/2006/relationships/worksheet" Target="/xl/worksheets/sheet7.xml" Id="R45078c439b634f58" /><Relationship Type="http://schemas.openxmlformats.org/officeDocument/2006/relationships/worksheet" Target="/xl/worksheets/sheet8.xml" Id="Rc3bff784d04e483a" /><Relationship Type="http://schemas.openxmlformats.org/officeDocument/2006/relationships/worksheet" Target="/xl/worksheets/sheet9.xml" Id="R221d46ddb60844aa" /><Relationship Type="http://schemas.openxmlformats.org/officeDocument/2006/relationships/worksheet" Target="/xl/worksheets/sheet10.xml" Id="R9406d38d7a31487f" /><Relationship Type="http://schemas.openxmlformats.org/officeDocument/2006/relationships/worksheet" Target="/xl/worksheets/sheet11.xml" Id="Ree9d5cb18e654673" /><Relationship Type="http://schemas.openxmlformats.org/officeDocument/2006/relationships/worksheet" Target="/xl/worksheets/sheet12.xml" Id="R474fdeb9952f4b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1e6579315741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vs Future Rates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Baseline</c:v>
          </c:tx>
          <c:cat>
            <c:strRef>
              <c:f>'Go-Live Dashboard'!$J$6:$J$8</c:f>
              <c:strCache>
                <c:ptCount val="0"/>
              </c:strCache>
            </c:strRef>
          </c:cat>
          <c:val>
            <c:numRef>
              <c:f>'Go-Live Dashboard'!$K$6:$K$8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Future</c:v>
          </c:tx>
          <c:cat>
            <c:strRef>
              <c:f>'Go-Live Dashboard'!$J$6:$J$8</c:f>
              <c:strCache>
                <c:ptCount val="0"/>
              </c:strCache>
            </c:strRef>
          </c:cat>
          <c:val>
            <c:numRef>
              <c:f>'Go-Live Dashboard'!$L$6:$L$8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1e65793157410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44c2df4b9eb49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O2C Deployment Workbench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8" t="str">
        <x:v>ERP Receivables Integration · Complete Synthetic Customer Implementation</x:v>
      </x:c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8">
      <x:c r="B8" s="10" t="str">
        <x:v>Northstar Industrial Distribution (Synthetic)</x:v>
      </x:c>
      <x:c r="C8" s="10"/>
      <x:c r="D8" s="10"/>
      <x:c r="E8" s="10"/>
      <x:c r="F8" s="10"/>
      <x:c r="G8" s="10"/>
    </x:row>
    <x:row r="10">
      <x:c r="B10" s="15" t="str">
        <x:v>Implementation ID</x:v>
      </x:c>
      <x:c r="C10" s="13" t="str">
        <x:v>O2C-NID-001</x:v>
      </x:c>
    </x:row>
    <x:row r="11">
      <x:c r="B11" s="15" t="str">
        <x:v>As-of date</x:v>
      </x:c>
      <x:c r="C11" s="13" t="str">
        <x:v>2026-07-31</x:v>
      </x:c>
    </x:row>
    <x:row r="12">
      <x:c r="B12" s="15" t="str">
        <x:v>Canonical records</x:v>
      </x:c>
      <x:c r="C12" s="13" t="n">
        <x:v>1908</x:v>
      </x:c>
    </x:row>
    <x:row r="13">
      <x:c r="B13" s="15" t="str">
        <x:v>Data-quality gate</x:v>
      </x:c>
      <x:c r="C13" s="13" t="str">
        <x:v>PASS</x:v>
      </x:c>
    </x:row>
    <x:row r="14">
      <x:c r="B14" s="15" t="str">
        <x:v>Go-live recommendation</x:v>
      </x:c>
      <x:c r="C14" s="13" t="str">
        <x:v>CONDITIONAL_GO</x:v>
      </x:c>
    </x:row>
    <x:row r="16">
      <x:c r="B16" s="44" t="str">
        <x:v>All SAP S/4HANA-style, Oracle Fusion-style, and NetSuite-style files are synthetic exports created for this implementation simulation.
KPI changes are controlled implementation benchmark results on synthetic data and are not real customer outcomes.</x:v>
      </x:c>
      <x:c r="C16" s="45"/>
      <x:c r="D16" s="45"/>
      <x:c r="E16" s="45"/>
      <x:c r="F16" s="45"/>
      <x:c r="G16" s="46"/>
    </x:row>
    <x:row r="17">
      <x:c r="B17" s="47"/>
      <x:c r="C17" s="48"/>
      <x:c r="D17" s="48"/>
      <x:c r="E17" s="48"/>
      <x:c r="F17" s="48"/>
      <x:c r="G17" s="49"/>
    </x:row>
    <x:row r="18">
      <x:c r="B18" s="47"/>
      <x:c r="C18" s="48"/>
      <x:c r="D18" s="48"/>
      <x:c r="E18" s="48"/>
      <x:c r="F18" s="48"/>
      <x:c r="G18" s="49"/>
    </x:row>
    <x:row r="19">
      <x:c r="B19" s="50"/>
      <x:c r="C19" s="51"/>
      <x:c r="D19" s="51"/>
      <x:c r="E19" s="51"/>
      <x:c r="F19" s="51"/>
      <x:c r="G19" s="52"/>
    </x:row>
  </x:sheetData>
  <x:mergeCells>
    <x:mergeCell ref="A1:H4"/>
    <x:mergeCell ref="A5:H6"/>
    <x:mergeCell ref="B8:G8"/>
    <x:mergeCell ref="B16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0" customHeight="1">
      <x:c r="A1" s="54" t="str">
        <x:v>Customer Configuration</x:v>
      </x:c>
      <x:c r="B1" s="54"/>
      <x:c r="C1" s="54"/>
      <x:c r="D1" s="54"/>
      <x:c r="E1" s="54"/>
      <x:c r="F1" s="54"/>
    </x:row>
    <x:row r="2" ht="30" customHeight="1">
      <x:c r="A2" s="54"/>
      <x:c r="B2" s="54"/>
      <x:c r="C2" s="54"/>
      <x:c r="D2" s="54"/>
      <x:c r="E2" s="54"/>
      <x:c r="F2" s="54"/>
    </x:row>
    <x:row r="3" ht="30" customHeight="1">
      <x:c r="A3" s="58" t="str">
        <x:v>Executable controls are maintained in config/customer_implementation.yaml.</x:v>
      </x:c>
      <x:c r="B3" s="58"/>
      <x:c r="C3" s="58"/>
      <x:c r="D3" s="58"/>
      <x:c r="E3" s="58"/>
      <x:c r="F3" s="58"/>
    </x:row>
    <x:row r="5">
      <x:c r="A5" s="63" t="str">
        <x:v>Section</x:v>
      </x:c>
      <x:c r="B5" s="63" t="str">
        <x:v>Parameter</x:v>
      </x:c>
      <x:c r="C5" s="63" t="str">
        <x:v>Configured value</x:v>
      </x:c>
      <x:c r="D5" s="63" t="str">
        <x:v>Purpose</x:v>
      </x:c>
      <x:c r="E5" s="63" t="str">
        <x:v>Owner</x:v>
      </x:c>
      <x:c r="F5" s="63" t="str">
        <x:v>Change control</x:v>
      </x:c>
    </x:row>
    <x:row r="6">
      <x:c r="A6" s="13" t="str">
        <x:v>Matching</x:v>
      </x:c>
      <x:c r="B6" s="13" t="str">
        <x:v>Absolute tolerance</x:v>
      </x:c>
      <x:c r="C6" s="67" t="n">
        <x:v>2</x:v>
      </x:c>
      <x:c r="D6" s="13" t="str">
        <x:v>Minimum allowed USD variance</x:v>
      </x:c>
      <x:c r="E6" s="13" t="str">
        <x:v>Cash Application Lead</x:v>
      </x:c>
      <x:c r="F6" s="13" t="str">
        <x:v>UAT + approval</x:v>
      </x:c>
    </x:row>
    <x:row r="7">
      <x:c r="A7" s="13" t="str">
        <x:v>Matching</x:v>
      </x:c>
      <x:c r="B7" s="13" t="str">
        <x:v>Percentage tolerance</x:v>
      </x:c>
      <x:c r="C7" s="68" t="n">
        <x:v>0.0025</x:v>
      </x:c>
      <x:c r="D7" s="13" t="str">
        <x:v>Relative variance threshold</x:v>
      </x:c>
      <x:c r="E7" s="13" t="str">
        <x:v>Cash Application Lead</x:v>
      </x:c>
      <x:c r="F7" s="13" t="str">
        <x:v>UAT + approval</x:v>
      </x:c>
    </x:row>
    <x:row r="8">
      <x:c r="A8" s="13" t="str">
        <x:v>Matching</x:v>
      </x:c>
      <x:c r="B8" s="13" t="str">
        <x:v>Minimum partial ratio</x:v>
      </x:c>
      <x:c r="C8" s="68" t="n">
        <x:v>0.25</x:v>
      </x:c>
      <x:c r="D8" s="13" t="str">
        <x:v>Floor for referenced partial auto-application</x:v>
      </x:c>
      <x:c r="E8" s="13" t="str">
        <x:v>AR Manager</x:v>
      </x:c>
      <x:c r="F8" s="13" t="str">
        <x:v>UAT + approval</x:v>
      </x:c>
    </x:row>
    <x:row r="9">
      <x:c r="A9" s="13" t="str">
        <x:v>Matching</x:v>
      </x:c>
      <x:c r="B9" s="13" t="str">
        <x:v>Deduction clear limit</x:v>
      </x:c>
      <x:c r="C9" s="69" t="n">
        <x:v>500</x:v>
      </x:c>
      <x:c r="D9" s="13" t="str">
        <x:v>Maximum validated deduction for auto-clear</x:v>
      </x:c>
      <x:c r="E9" s="13" t="str">
        <x:v>Deductions Lead</x:v>
      </x:c>
      <x:c r="F9" s="13" t="str">
        <x:v>UAT + approval</x:v>
      </x:c>
    </x:row>
    <x:row r="10">
      <x:c r="A10" s="13" t="str">
        <x:v>Matching</x:v>
      </x:c>
      <x:c r="B10" s="13" t="str">
        <x:v>Cross-currency</x:v>
      </x:c>
      <x:c r="C10" s="66" t="b">
        <x:v>1</x:v>
      </x:c>
      <x:c r="D10" s="13" t="str">
        <x:v>Permit configured FX comparison</x:v>
      </x:c>
      <x:c r="E10" s="13" t="str">
        <x:v>Treasury Operations</x:v>
      </x:c>
      <x:c r="F10" s="13" t="str">
        <x:v>UAT + approval</x:v>
      </x:c>
    </x:row>
    <x:row r="11">
      <x:c r="A11" s="13" t="str">
        <x:v>Collections</x:v>
      </x:c>
      <x:c r="B11" s="13" t="str">
        <x:v>Days past due weight</x:v>
      </x:c>
      <x:c r="C11" s="68" t="n">
        <x:v>0.35</x:v>
      </x:c>
      <x:c r="D11" s="13" t="str">
        <x:v>Priority score component</x:v>
      </x:c>
      <x:c r="E11" s="13" t="str">
        <x:v>Collections Lead</x:v>
      </x:c>
      <x:c r="F11" s="13" t="str">
        <x:v>Re-score + UAT</x:v>
      </x:c>
    </x:row>
    <x:row r="12">
      <x:c r="A12" s="13" t="str">
        <x:v>Collections</x:v>
      </x:c>
      <x:c r="B12" s="13" t="str">
        <x:v>Open balance weight</x:v>
      </x:c>
      <x:c r="C12" s="68" t="n">
        <x:v>0.3</x:v>
      </x:c>
      <x:c r="D12" s="13" t="str">
        <x:v>Priority score component</x:v>
      </x:c>
      <x:c r="E12" s="13" t="str">
        <x:v>Collections Lead</x:v>
      </x:c>
      <x:c r="F12" s="13" t="str">
        <x:v>Re-score + UAT</x:v>
      </x:c>
    </x:row>
    <x:row r="13">
      <x:c r="A13" s="13" t="str">
        <x:v>Collections</x:v>
      </x:c>
      <x:c r="B13" s="13" t="str">
        <x:v>Broken promise weight</x:v>
      </x:c>
      <x:c r="C13" s="68" t="n">
        <x:v>0.2</x:v>
      </x:c>
      <x:c r="D13" s="13" t="str">
        <x:v>Priority score component</x:v>
      </x:c>
      <x:c r="E13" s="13" t="str">
        <x:v>Collections Lead</x:v>
      </x:c>
      <x:c r="F13" s="13" t="str">
        <x:v>Re-score + UAT</x:v>
      </x:c>
    </x:row>
    <x:row r="14">
      <x:c r="A14" s="13" t="str">
        <x:v>Collections</x:v>
      </x:c>
      <x:c r="B14" s="13" t="str">
        <x:v>Credit risk weight</x:v>
      </x:c>
      <x:c r="C14" s="68" t="n">
        <x:v>0.1</x:v>
      </x:c>
      <x:c r="D14" s="13" t="str">
        <x:v>Priority score component</x:v>
      </x:c>
      <x:c r="E14" s="13" t="str">
        <x:v>Credit/Collections</x:v>
      </x:c>
      <x:c r="F14" s="13" t="str">
        <x:v>Re-score + UAT</x:v>
      </x:c>
    </x:row>
    <x:row r="15">
      <x:c r="A15" s="13" t="str">
        <x:v>Collections</x:v>
      </x:c>
      <x:c r="B15" s="13" t="str">
        <x:v>Active deduction weight</x:v>
      </x:c>
      <x:c r="C15" s="68" t="n">
        <x:v>0.05</x:v>
      </x:c>
      <x:c r="D15" s="13" t="str">
        <x:v>Priority score component</x:v>
      </x:c>
      <x:c r="E15" s="13" t="str">
        <x:v>Deductions Lead</x:v>
      </x:c>
      <x:c r="F15" s="13" t="str">
        <x:v>Re-score + UAT</x:v>
      </x:c>
    </x:row>
    <x:row r="16">
      <x:c r="A16" s="13" t="str">
        <x:v>Agents</x:v>
      </x:c>
      <x:c r="B16" s="13" t="str">
        <x:v>Offline case limit</x:v>
      </x:c>
      <x:c r="C16" s="13" t="n">
        <x:v>24</x:v>
      </x:c>
      <x:c r="D16" s="13" t="str">
        <x:v>Bounded reproducible decision sample</x:v>
      </x:c>
      <x:c r="E16" s="13" t="str">
        <x:v>AI Platform Owner</x:v>
      </x:c>
      <x:c r="F16" s="13" t="str">
        <x:v>Code review</x:v>
      </x:c>
    </x:row>
    <x:row r="17">
      <x:c r="A17" s="13" t="str">
        <x:v>Agents</x:v>
      </x:c>
      <x:c r="B17" s="13" t="str">
        <x:v>High-value approval</x:v>
      </x:c>
      <x:c r="C17" s="69" t="n">
        <x:v>10000</x:v>
      </x:c>
      <x:c r="D17" s="13" t="str">
        <x:v>Escalation threshold</x:v>
      </x:c>
      <x:c r="E17" s="13" t="str">
        <x:v>AR Controls Owner</x:v>
      </x:c>
      <x:c r="F17" s="13" t="str">
        <x:v>Approval</x:v>
      </x:c>
    </x:row>
    <x:row r="18">
      <x:c r="A18" s="13" t="str">
        <x:v>Observability</x:v>
      </x:c>
      <x:c r="B18" s="13" t="str">
        <x:v>Record content capture</x:v>
      </x:c>
      <x:c r="C18" s="66" t="b">
        <x:v>0</x:v>
      </x:c>
      <x:c r="D18" s="13" t="str">
        <x:v>Avoid sensitive record content in traces</x:v>
      </x:c>
      <x:c r="E18" s="13" t="str">
        <x:v>Platform Security</x:v>
      </x:c>
      <x:c r="F18" s="13" t="str">
        <x:v>Security approval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54" t="str">
        <x:v>Source-to-Target Mapping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4"/>
      <x:c r="B2" s="54"/>
      <x:c r="C2" s="54"/>
      <x:c r="D2" s="54"/>
      <x:c r="E2" s="54"/>
      <x:c r="F2" s="54"/>
      <x:c r="G2" s="54"/>
      <x:c r="H2" s="54"/>
    </x:row>
    <x:row r="3" ht="30" customHeight="1">
      <x:c r="A3" s="58" t="str">
        <x:v>Representative mappings; every source is a simulated style export, not a genuine ERP integration.</x:v>
      </x:c>
      <x:c r="B3" s="58"/>
      <x:c r="C3" s="58"/>
      <x:c r="D3" s="58"/>
      <x:c r="E3" s="58"/>
      <x:c r="F3" s="58"/>
      <x:c r="G3" s="58"/>
      <x:c r="H3" s="58"/>
    </x:row>
    <x:row r="5">
      <x:c r="A5" s="63" t="str">
        <x:v>Canonical entity</x:v>
      </x:c>
      <x:c r="B5" s="63" t="str">
        <x:v>SAP S/4HANA-style</x:v>
      </x:c>
      <x:c r="C5" s="63" t="str">
        <x:v>Oracle Fusion-style</x:v>
      </x:c>
      <x:c r="D5" s="63" t="str">
        <x:v>NetSuite-style</x:v>
      </x:c>
      <x:c r="E5" s="63" t="str">
        <x:v>Business key</x:v>
      </x:c>
      <x:c r="F5" s="63" t="str">
        <x:v>Purpose</x:v>
      </x:c>
      <x:c r="G5" s="63" t="str">
        <x:v>Primary control</x:v>
      </x:c>
      <x:c r="H5" s="63" t="str">
        <x:v>Lineage</x:v>
      </x:c>
    </x:row>
    <x:row r="6">
      <x:c r="A6" s="13" t="str">
        <x:v>customers</x:v>
      </x:c>
      <x:c r="B6" s="13" t="str">
        <x:v>KNA1_SIM.csv</x:v>
      </x:c>
      <x:c r="C6" s="13" t="str">
        <x:v>HZ_CUST_ACCOUNTS_SIM.csv</x:v>
      </x:c>
      <x:c r="D6" s="13" t="str">
        <x:v>customers_export_sim.csv</x:v>
      </x:c>
      <x:c r="E6" s="13" t="str">
        <x:v>customer_id</x:v>
      </x:c>
      <x:c r="F6" s="13" t="str">
        <x:v>Customer master</x:v>
      </x:c>
      <x:c r="G6" s="13" t="str">
        <x:v>Required/unique</x:v>
      </x:c>
      <x:c r="H6" s="13" t="str">
        <x:v>source_system + source_file</x:v>
      </x:c>
    </x:row>
    <x:row r="7">
      <x:c r="A7" s="13" t="str">
        <x:v>invoices</x:v>
      </x:c>
      <x:c r="B7" s="13" t="str">
        <x:v>BSID_SIM.csv</x:v>
      </x:c>
      <x:c r="C7" s="13" t="str">
        <x:v>RA_CUSTOMER_TRX_ALL_SIM.csv</x:v>
      </x:c>
      <x:c r="D7" s="13" t="str">
        <x:v>transactions_invoices_sim.csv</x:v>
      </x:c>
      <x:c r="E7" s="13" t="str">
        <x:v>invoice_id</x:v>
      </x:c>
      <x:c r="F7" s="13" t="str">
        <x:v>Open receivable</x:v>
      </x:c>
      <x:c r="G7" s="13" t="str">
        <x:v>Dates/currency/amount</x:v>
      </x:c>
      <x:c r="H7" s="13" t="str">
        <x:v>source_system + source_file</x:v>
      </x:c>
    </x:row>
    <x:row r="8">
      <x:c r="A8" s="13" t="str">
        <x:v>payments</x:v>
      </x:c>
      <x:c r="B8" s="13" t="str">
        <x:v>FEBEP_SIM.csv</x:v>
      </x:c>
      <x:c r="C8" s="13" t="str">
        <x:v>AR_CASH_RECEIPTS_ALL_SIM.csv</x:v>
      </x:c>
      <x:c r="D8" s="13" t="str">
        <x:v>customer_payments_sim.csv</x:v>
      </x:c>
      <x:c r="E8" s="13" t="str">
        <x:v>payment_id</x:v>
      </x:c>
      <x:c r="F8" s="13" t="str">
        <x:v>Incoming cash</x:v>
      </x:c>
      <x:c r="G8" s="13" t="str">
        <x:v>Bank duplicate</x:v>
      </x:c>
      <x:c r="H8" s="13" t="str">
        <x:v>source_system + source_file</x:v>
      </x:c>
    </x:row>
    <x:row r="9">
      <x:c r="A9" s="13" t="str">
        <x:v>remittances</x:v>
      </x:c>
      <x:c r="B9" s="13" t="str">
        <x:v>REMADV_SIM.csv</x:v>
      </x:c>
      <x:c r="C9" s="13" t="str">
        <x:v>AR_RECEIVABLE_APPLICATIONS_SIM.csv</x:v>
      </x:c>
      <x:c r="D9" s="13" t="str">
        <x:v>payment_applications_sim.csv</x:v>
      </x:c>
      <x:c r="E9" s="13" t="str">
        <x:v>remittance_id</x:v>
      </x:c>
      <x:c r="F9" s="13" t="str">
        <x:v>Invoice references</x:v>
      </x:c>
      <x:c r="G9" s="13" t="str">
        <x:v>Payment link</x:v>
      </x:c>
      <x:c r="H9" s="13" t="str">
        <x:v>source_system + source_file</x:v>
      </x:c>
    </x:row>
    <x:row r="10">
      <x:c r="A10" s="13" t="str">
        <x:v>deductions</x:v>
      </x:c>
      <x:c r="B10" s="13" t="str">
        <x:v>DM_CASE_SIM.csv</x:v>
      </x:c>
      <x:c r="C10" s="13" t="str">
        <x:v>AR_DEDUCTIONS_SIM.csv</x:v>
      </x:c>
      <x:c r="D10" s="13" t="str">
        <x:v>credit_memos_deductions_sim.csv</x:v>
      </x:c>
      <x:c r="E10" s="13" t="str">
        <x:v>deduction_id</x:v>
      </x:c>
      <x:c r="F10" s="13" t="str">
        <x:v>Short-pay evidence</x:v>
      </x:c>
      <x:c r="G10" s="13" t="str">
        <x:v>Status/limit</x:v>
      </x:c>
      <x:c r="H10" s="13" t="str">
        <x:v>source_system + source_file</x:v>
      </x:c>
    </x:row>
    <x:row r="11">
      <x:c r="A11" s="13" t="str">
        <x:v>promises_to_pay</x:v>
      </x:c>
      <x:c r="B11" s="13" t="str">
        <x:v>PTP_SIM.csv</x:v>
      </x:c>
      <x:c r="C11" s="13" t="str">
        <x:v>AR_PROMISES_SIM.csv</x:v>
      </x:c>
      <x:c r="D11" s="13" t="str">
        <x:v>promises_to_pay_sim.csv</x:v>
      </x:c>
      <x:c r="E11" s="13" t="str">
        <x:v>promise_id</x:v>
      </x:c>
      <x:c r="F11" s="13" t="str">
        <x:v>Promise tracking</x:v>
      </x:c>
      <x:c r="G11" s="13" t="str">
        <x:v>Invoice link</x:v>
      </x:c>
      <x:c r="H11" s="13" t="str">
        <x:v>source_system + source_file</x:v>
      </x:c>
    </x:row>
    <x:row r="12">
      <x:c r="A12" s="13" t="str">
        <x:v>collection_activities</x:v>
      </x:c>
      <x:c r="B12" s="13" t="str">
        <x:v>DUNNING_LOG_SIM.csv</x:v>
      </x:c>
      <x:c r="C12" s="13" t="str">
        <x:v>AR_COLLECTION_ACTIVITIES_SIM.csv</x:v>
      </x:c>
      <x:c r="D12" s="13" t="str">
        <x:v>collection_notes_sim.csv</x:v>
      </x:c>
      <x:c r="E12" s="13" t="str">
        <x:v>activity_id</x:v>
      </x:c>
      <x:c r="F12" s="13" t="str">
        <x:v>Collector history</x:v>
      </x:c>
      <x:c r="G12" s="13" t="str">
        <x:v>Customer link</x:v>
      </x:c>
      <x:c r="H12" s="13" t="str">
        <x:v>source_system + source_file</x:v>
      </x:c>
    </x:row>
    <x:row r="14">
      <x:c r="A14" s="71" t="str">
        <x:v>Representative field-level mappings</x:v>
      </x:c>
      <x:c r="B14" s="71"/>
      <x:c r="C14" s="71"/>
      <x:c r="D14" s="71"/>
      <x:c r="E14" s="71"/>
      <x:c r="F14" s="71"/>
      <x:c r="G14" s="71"/>
      <x:c r="H14" s="71"/>
    </x:row>
    <x:row r="15">
      <x:c r="A15" s="63" t="str">
        <x:v>Canonical field</x:v>
      </x:c>
      <x:c r="B15" s="63" t="str">
        <x:v>SAP field</x:v>
      </x:c>
      <x:c r="C15" s="63" t="str">
        <x:v>Oracle field</x:v>
      </x:c>
      <x:c r="D15" s="63" t="str">
        <x:v>NetSuite field</x:v>
      </x:c>
      <x:c r="E15" s="63" t="str">
        <x:v>Type</x:v>
      </x:c>
      <x:c r="F15" s="63" t="str">
        <x:v>Control</x:v>
      </x:c>
      <x:c r="G15" s="63" t="str">
        <x:v>Transform</x:v>
      </x:c>
      <x:c r="H15" s="63" t="str">
        <x:v>Use</x:v>
      </x:c>
    </x:row>
    <x:row r="16">
      <x:c r="A16" s="13" t="str">
        <x:v>customer_id</x:v>
      </x:c>
      <x:c r="B16" s="13" t="str">
        <x:v>KUNNR</x:v>
      </x:c>
      <x:c r="C16" s="13" t="str">
        <x:v>CUST_ACCOUNT_ID</x:v>
      </x:c>
      <x:c r="D16" s="13" t="str">
        <x:v>internalid</x:v>
      </x:c>
      <x:c r="E16" s="13" t="str">
        <x:v>Text</x:v>
      </x:c>
      <x:c r="F16" s="13" t="str">
        <x:v>Required</x:v>
      </x:c>
      <x:c r="G16" s="13" t="str">
        <x:v>Preserve</x:v>
      </x:c>
      <x:c r="H16" s="13" t="str">
        <x:v>Customer key</x:v>
      </x:c>
    </x:row>
    <x:row r="17">
      <x:c r="A17" s="13" t="str">
        <x:v>invoice_number</x:v>
      </x:c>
      <x:c r="B17" s="13" t="str">
        <x:v>XBLNR</x:v>
      </x:c>
      <x:c r="C17" s="13" t="str">
        <x:v>TRX_NUMBER</x:v>
      </x:c>
      <x:c r="D17" s="13" t="str">
        <x:v>tranid</x:v>
      </x:c>
      <x:c r="E17" s="13" t="str">
        <x:v>Text</x:v>
      </x:c>
      <x:c r="F17" s="13" t="str">
        <x:v>Required</x:v>
      </x:c>
      <x:c r="G17" s="13" t="str">
        <x:v>Trim</x:v>
      </x:c>
      <x:c r="H17" s="13" t="str">
        <x:v>Reference match</x:v>
      </x:c>
    </x:row>
    <x:row r="18">
      <x:c r="A18" s="13" t="str">
        <x:v>open_amount</x:v>
      </x:c>
      <x:c r="B18" s="13" t="str">
        <x:v>DMBTR_OPEN</x:v>
      </x:c>
      <x:c r="C18" s="13" t="str">
        <x:v>AMOUNT_DUE_REMAINING</x:v>
      </x:c>
      <x:c r="D18" s="13" t="str">
        <x:v>amountremaining</x:v>
      </x:c>
      <x:c r="E18" s="13" t="str">
        <x:v>Decimal</x:v>
      </x:c>
      <x:c r="F18" s="13" t="str">
        <x:v>Non-negative</x:v>
      </x:c>
      <x:c r="G18" s="13" t="str">
        <x:v>Parse decimal</x:v>
      </x:c>
      <x:c r="H18" s="13" t="str">
        <x:v>Open AR</x:v>
      </x:c>
    </x:row>
    <x:row r="19">
      <x:c r="A19" s="13" t="str">
        <x:v>bank_txn_id</x:v>
      </x:c>
      <x:c r="B19" s="13" t="str">
        <x:v>BANK_REF</x:v>
      </x:c>
      <x:c r="C19" s="13" t="str">
        <x:v>BANK_REFERENCE</x:v>
      </x:c>
      <x:c r="D19" s="13" t="str">
        <x:v>custbody_bank_reference</x:v>
      </x:c>
      <x:c r="E19" s="13" t="str">
        <x:v>Text</x:v>
      </x:c>
      <x:c r="F19" s="13" t="str">
        <x:v>Duplicate warning</x:v>
      </x:c>
      <x:c r="G19" s="13" t="str">
        <x:v>Trim</x:v>
      </x:c>
      <x:c r="H19" s="13" t="str">
        <x:v>Bank control</x:v>
      </x:c>
    </x:row>
    <x:row r="20">
      <x:c r="A20" s="13" t="str">
        <x:v>invoice_refs</x:v>
      </x:c>
      <x:c r="B20" s="13" t="str">
        <x:v>XBLNR_LIST</x:v>
      </x:c>
      <x:c r="C20" s="13" t="str">
        <x:v>APPLIED_TRX_NUMBERS</x:v>
      </x:c>
      <x:c r="D20" s="13" t="str">
        <x:v>applied_tranids</x:v>
      </x:c>
      <x:c r="E20" s="13" t="str">
        <x:v>Text list</x:v>
      </x:c>
      <x:c r="F20" s="13" t="str">
        <x:v>Payment link</x:v>
      </x:c>
      <x:c r="G20" s="13" t="str">
        <x:v>Normalize delimiters</x:v>
      </x:c>
      <x:c r="H20" s="13" t="str">
        <x:v>Remittance</x:v>
      </x:c>
    </x:row>
    <x:row r="21">
      <x:c r="A21" s="13" t="str">
        <x:v>promise status</x:v>
      </x:c>
      <x:c r="B21" s="13" t="str">
        <x:v>PTP_STATUS</x:v>
      </x:c>
      <x:c r="C21" s="13" t="str">
        <x:v>PROMISE_STATUS</x:v>
      </x:c>
      <x:c r="D21" s="13" t="str">
        <x:v>promisestatus</x:v>
      </x:c>
      <x:c r="E21" s="13" t="str">
        <x:v>Enum</x:v>
      </x:c>
      <x:c r="F21" s="13" t="str">
        <x:v>Invoice link</x:v>
      </x:c>
      <x:c r="G21" s="13" t="str">
        <x:v>Uppercase</x:v>
      </x:c>
      <x:c r="H21" s="13" t="str">
        <x:v>Collections</x:v>
      </x:c>
    </x:row>
  </x:sheetData>
  <x:mergeCells>
    <x:mergeCell ref="A1:H2"/>
    <x:mergeCell ref="A3:H3"/>
    <x:mergeCell ref="A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54" t="str">
        <x:v>Data-Quality Report</x:v>
      </x:c>
      <x:c r="B1" s="54"/>
      <x:c r="C1" s="54"/>
      <x:c r="D1" s="54"/>
      <x:c r="E1" s="54"/>
      <x:c r="F1" s="54"/>
      <x:c r="G1" s="54"/>
    </x:row>
    <x:row r="2" ht="30" customHeight="1">
      <x:c r="A2" s="54"/>
      <x:c r="B2" s="54"/>
      <x:c r="C2" s="54"/>
      <x:c r="D2" s="54"/>
      <x:c r="E2" s="54"/>
      <x:c r="F2" s="54"/>
      <x:c r="G2" s="54"/>
    </x:row>
    <x:row r="3" ht="30" customHeight="1">
      <x:c r="A3" s="58" t="str">
        <x:v>Seed-42 canonical control results. Intentional duplicates remain warnings and are routed.</x:v>
      </x:c>
      <x:c r="B3" s="58"/>
      <x:c r="C3" s="58"/>
      <x:c r="D3" s="58"/>
      <x:c r="E3" s="58"/>
      <x:c r="F3" s="58"/>
      <x:c r="G3" s="58"/>
    </x:row>
    <x:row r="5">
      <x:c r="A5" s="63" t="str">
        <x:v>Control result</x:v>
      </x:c>
      <x:c r="B5" s="63" t="str">
        <x:v>Value</x:v>
      </x:c>
    </x:row>
    <x:row r="6">
      <x:c r="A6" s="13" t="str">
        <x:v>Canonical records</x:v>
      </x:c>
      <x:c r="B6" s="13" t="n">
        <x:v>1908</x:v>
      </x:c>
    </x:row>
    <x:row r="7">
      <x:c r="A7" s="13" t="str">
        <x:v>Validation errors</x:v>
      </x:c>
      <x:c r="B7" s="13" t="n">
        <x:v>0</x:v>
      </x:c>
    </x:row>
    <x:row r="8">
      <x:c r="A8" s="13" t="str">
        <x:v>Warnings</x:v>
      </x:c>
      <x:c r="B8" s="13" t="n">
        <x:v>18</x:v>
      </x:c>
    </x:row>
    <x:row r="9">
      <x:c r="A9" s="13" t="str">
        <x:v>Batch gate</x:v>
      </x:c>
      <x:c r="B9" s="13" t="str">
        <x:v>PASS WITH WARNINGS</x:v>
      </x:c>
    </x:row>
    <x:row r="11">
      <x:c r="A11" s="63" t="str">
        <x:v>Check</x:v>
      </x:c>
      <x:c r="B11" s="63" t="str">
        <x:v>Definition</x:v>
      </x:c>
      <x:c r="C11" s="63" t="str">
        <x:v>Severity</x:v>
      </x:c>
      <x:c r="D11" s="63" t="str">
        <x:v>Findings</x:v>
      </x:c>
      <x:c r="E11" s="63" t="str">
        <x:v>Disposition</x:v>
      </x:c>
    </x:row>
    <x:row r="12">
      <x:c r="A12" s="13" t="str">
        <x:v>VAL-001</x:v>
      </x:c>
      <x:c r="B12" s="13" t="str">
        <x:v>Required identifiers populated</x:v>
      </x:c>
      <x:c r="C12" s="13" t="str">
        <x:v>ERROR</x:v>
      </x:c>
      <x:c r="D12" s="13" t="str">
        <x:v>0</x:v>
      </x:c>
      <x:c r="E12" s="13" t="str">
        <x:v>Pass</x:v>
      </x:c>
    </x:row>
    <x:row r="13">
      <x:c r="A13" s="13" t="str">
        <x:v>VAL-002</x:v>
      </x:c>
      <x:c r="B13" s="13" t="str">
        <x:v>Primary identifiers unique</x:v>
      </x:c>
      <x:c r="C13" s="13" t="str">
        <x:v>ERROR</x:v>
      </x:c>
      <x:c r="D13" s="13" t="str">
        <x:v>0</x:v>
      </x:c>
      <x:c r="E13" s="13" t="str">
        <x:v>Pass</x:v>
      </x:c>
    </x:row>
    <x:row r="14">
      <x:c r="A14" s="13" t="str">
        <x:v>VAL-003</x:v>
      </x:c>
      <x:c r="B14" s="13" t="str">
        <x:v>Customer foreign keys resolve</x:v>
      </x:c>
      <x:c r="C14" s="13" t="str">
        <x:v>ERROR</x:v>
      </x:c>
      <x:c r="D14" s="13" t="str">
        <x:v>0</x:v>
      </x:c>
      <x:c r="E14" s="13" t="str">
        <x:v>Pass</x:v>
      </x:c>
    </x:row>
    <x:row r="15">
      <x:c r="A15" s="13" t="str">
        <x:v>VAL-004</x:v>
      </x:c>
      <x:c r="B15" s="13" t="str">
        <x:v>Amounts non-negative</x:v>
      </x:c>
      <x:c r="C15" s="13" t="str">
        <x:v>ERROR</x:v>
      </x:c>
      <x:c r="D15" s="13" t="str">
        <x:v>0</x:v>
      </x:c>
      <x:c r="E15" s="13" t="str">
        <x:v>Pass</x:v>
      </x:c>
    </x:row>
    <x:row r="16">
      <x:c r="A16" s="13" t="str">
        <x:v>VAL-005</x:v>
      </x:c>
      <x:c r="B16" s="13" t="str">
        <x:v>Currency configured</x:v>
      </x:c>
      <x:c r="C16" s="13" t="str">
        <x:v>ERROR</x:v>
      </x:c>
      <x:c r="D16" s="13" t="str">
        <x:v>0</x:v>
      </x:c>
      <x:c r="E16" s="13" t="str">
        <x:v>Pass</x:v>
      </x:c>
    </x:row>
    <x:row r="17">
      <x:c r="A17" s="13" t="str">
        <x:v>VAL-006</x:v>
      </x:c>
      <x:c r="B17" s="13" t="str">
        <x:v>Due date not before invoice date</x:v>
      </x:c>
      <x:c r="C17" s="13" t="str">
        <x:v>ERROR</x:v>
      </x:c>
      <x:c r="D17" s="13" t="str">
        <x:v>0</x:v>
      </x:c>
      <x:c r="E17" s="13" t="str">
        <x:v>Pass</x:v>
      </x:c>
    </x:row>
    <x:row r="18">
      <x:c r="A18" s="13" t="str">
        <x:v>VAL-007</x:v>
      </x:c>
      <x:c r="B18" s="13" t="str">
        <x:v>Duplicate bank transactions identified</x:v>
      </x:c>
      <x:c r="C18" s="13" t="str">
        <x:v>WARN</x:v>
      </x:c>
      <x:c r="D18" s="13" t="n">
        <x:v>18</x:v>
      </x:c>
      <x:c r="E18" s="13" t="str">
        <x:v>Warnings routed</x:v>
      </x:c>
    </x:row>
    <x:row r="20">
      <x:c r="A20" s="74" t="str">
        <x:v>The 18 warnings are deliberate repeated bank identifiers. Later occurrences are quarantined, excluded from valid cash, and routed to the Cash Application Data Steward. No validation issue is silently discarded.</x:v>
      </x:c>
      <x:c r="B20" s="74"/>
      <x:c r="C20" s="74"/>
      <x:c r="D20" s="74"/>
      <x:c r="E20" s="74"/>
      <x:c r="F20" s="74"/>
      <x:c r="G20" s="74"/>
    </x:row>
    <x:row r="21">
      <x:c r="A21" s="74"/>
      <x:c r="B21" s="74"/>
      <x:c r="C21" s="74"/>
      <x:c r="D21" s="74"/>
      <x:c r="E21" s="74"/>
      <x:c r="F21" s="74"/>
      <x:c r="G21" s="74"/>
    </x:row>
    <x:row r="22">
      <x:c r="A22" s="74"/>
      <x:c r="B22" s="74"/>
      <x:c r="C22" s="74"/>
      <x:c r="D22" s="74"/>
      <x:c r="E22" s="74"/>
      <x:c r="F22" s="74"/>
      <x:c r="G22" s="74"/>
    </x:row>
  </x:sheetData>
  <x:mergeCells>
    <x:mergeCell ref="A1:G2"/>
    <x:mergeCell ref="A3:G3"/>
    <x:mergeCell ref="A20:G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38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54" t="str">
        <x:v>KPI Definition Sheet</x:v>
      </x:c>
      <x:c r="B1" s="54"/>
      <x:c r="C1" s="54"/>
      <x:c r="D1" s="54"/>
      <x:c r="E1" s="54"/>
      <x:c r="F1" s="54"/>
      <x:c r="G1" s="54"/>
    </x:row>
    <x:row r="2" ht="30" customHeight="1">
      <x:c r="A2" s="54"/>
      <x:c r="B2" s="54"/>
      <x:c r="C2" s="54"/>
      <x:c r="D2" s="54"/>
      <x:c r="E2" s="54"/>
      <x:c r="F2" s="54"/>
      <x:c r="G2" s="54"/>
    </x:row>
    <x:row r="3" ht="30" customHeight="1">
      <x:c r="A3" s="58" t="str">
        <x:v>Every movement is a synthetic controlled implementation benchmark.</x:v>
      </x:c>
      <x:c r="B3" s="58"/>
      <x:c r="C3" s="58"/>
      <x:c r="D3" s="58"/>
      <x:c r="E3" s="58"/>
      <x:c r="F3" s="58"/>
      <x:c r="G3" s="58"/>
    </x:row>
    <x:row r="5">
      <x:c r="A5" s="63" t="str">
        <x:v>KPI</x:v>
      </x:c>
      <x:c r="B5" s="63" t="str">
        <x:v>Definition</x:v>
      </x:c>
      <x:c r="C5" s="63" t="str">
        <x:v>Direction</x:v>
      </x:c>
      <x:c r="D5" s="63" t="str">
        <x:v>Limitation</x:v>
      </x:c>
      <x:c r="E5" s="63" t="str">
        <x:v>Cadence</x:v>
      </x:c>
      <x:c r="F5" s="63" t="str">
        <x:v>Owner</x:v>
      </x:c>
      <x:c r="G5" s="63" t="str">
        <x:v>Target</x:v>
      </x:c>
    </x:row>
    <x:row r="6">
      <x:c r="A6" s="13" t="str">
        <x:v>Auto-match rate</x:v>
      </x:c>
      <x:c r="B6" s="13" t="str">
        <x:v>Auto-matched valid payments / valid payments</x:v>
      </x:c>
      <x:c r="C6" s="13" t="str">
        <x:v>Higher</x:v>
      </x:c>
      <x:c r="D6" s="13" t="str">
        <x:v>Duplicate records excluded</x:v>
      </x:c>
      <x:c r="E6" s="13" t="str">
        <x:v>Daily</x:v>
      </x:c>
      <x:c r="F6" s="13" t="str">
        <x:v>Cash Application Lead</x:v>
      </x:c>
      <x:c r="G6" s="13" t="str">
        <x:v>78%</x:v>
      </x:c>
    </x:row>
    <x:row r="7">
      <x:c r="A7" s="13" t="str">
        <x:v>Manual-review rate</x:v>
      </x:c>
      <x:c r="B7" s="13" t="str">
        <x:v>Manual-review payment records / all payment records</x:v>
      </x:c>
      <x:c r="C7" s="13" t="str">
        <x:v>Lower</x:v>
      </x:c>
      <x:c r="D7" s="13" t="str">
        <x:v>Includes duplicates requiring steward review</x:v>
      </x:c>
      <x:c r="E7" s="13" t="str">
        <x:v>Daily</x:v>
      </x:c>
      <x:c r="F7" s="13" t="str">
        <x:v>Cash Application Lead</x:v>
      </x:c>
      <x:c r="G7" s="13" t="str">
        <x:v>22%</x:v>
      </x:c>
    </x:row>
    <x:row r="8">
      <x:c r="A8" s="13" t="str">
        <x:v>Unapplied cash</x:v>
      </x:c>
      <x:c r="B8" s="13" t="str">
        <x:v>Sum of valid payment residuals translated to USD</x:v>
      </x:c>
      <x:c r="C8" s="13" t="str">
        <x:v>Lower</x:v>
      </x:c>
      <x:c r="D8" s="13" t="str">
        <x:v>Overpayment residuals remain visible</x:v>
      </x:c>
      <x:c r="E8" s="13" t="str">
        <x:v>Daily</x:v>
      </x:c>
      <x:c r="F8" s="13" t="str">
        <x:v>AR Manager</x:v>
      </x:c>
      <x:c r="G8" s="13" t="str">
        <x:v>$125,000</x:v>
      </x:c>
    </x:row>
    <x:row r="9">
      <x:c r="A9" s="13" t="str">
        <x:v>DSO</x:v>
      </x:c>
      <x:c r="B9" s="13" t="str">
        <x:v>Ending AR / 90-day synthetic credit sales × 90</x:v>
      </x:c>
      <x:c r="C9" s="13" t="str">
        <x:v>Lower</x:v>
      </x:c>
      <x:c r="D9" s="13" t="str">
        <x:v>Controlled indicator, not customer DSO</x:v>
      </x:c>
      <x:c r="E9" s="13" t="str">
        <x:v>Weekly</x:v>
      </x:c>
      <x:c r="F9" s="13" t="str">
        <x:v>AR Manager</x:v>
      </x:c>
      <x:c r="G9" s="13" t="str">
        <x:v>48 days</x:v>
      </x:c>
    </x:row>
    <x:row r="10">
      <x:c r="A10" s="13" t="str">
        <x:v>CEI</x:v>
      </x:c>
      <x:c r="B10" s="13" t="str">
        <x:v>Collections effectiveness formula using beginning/current/ending AR</x:v>
      </x:c>
      <x:c r="C10" s="13" t="str">
        <x:v>Higher</x:v>
      </x:c>
      <x:c r="D10" s="13" t="str">
        <x:v>Depends on synthetic aging mix</x:v>
      </x:c>
      <x:c r="E10" s="13" t="str">
        <x:v>Weekly</x:v>
      </x:c>
      <x:c r="F10" s="13" t="str">
        <x:v>Collections Lead</x:v>
      </x:c>
      <x:c r="G10" s="13" t="str">
        <x:v>82%</x:v>
      </x:c>
    </x:row>
    <x:row r="11">
      <x:c r="A11" s="13" t="str">
        <x:v>Past-due AR</x:v>
      </x:c>
      <x:c r="B11" s="13" t="str">
        <x:v>Past-due ending AR / ending AR</x:v>
      </x:c>
      <x:c r="C11" s="13" t="str">
        <x:v>Lower</x:v>
      </x:c>
      <x:c r="D11" s="13" t="str">
        <x:v>Uses configured as-of date</x:v>
      </x:c>
      <x:c r="E11" s="13" t="str">
        <x:v>Daily</x:v>
      </x:c>
      <x:c r="F11" s="13" t="str">
        <x:v>Collections Lead</x:v>
      </x:c>
      <x:c r="G11" s="13" t="str">
        <x:v>30%</x:v>
      </x:c>
    </x:row>
    <x:row r="12">
      <x:c r="A12" s="13" t="str">
        <x:v>Processing time</x:v>
      </x:c>
      <x:c r="B12" s="13" t="str">
        <x:v>Record counts × configured handling minutes</x:v>
      </x:c>
      <x:c r="C12" s="13" t="str">
        <x:v>Lower</x:v>
      </x:c>
      <x:c r="D12" s="13" t="str">
        <x:v>Modeled effort, not observation</x:v>
      </x:c>
      <x:c r="E12" s="13" t="str">
        <x:v>Batch</x:v>
      </x:c>
      <x:c r="F12" s="13" t="str">
        <x:v>Implementation Lead</x:v>
      </x:c>
      <x:c r="G12" s="13" t="str">
        <x:v>25 hours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54" t="str">
        <x:v>Current State vs Configured Future State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4"/>
      <x:c r="B2" s="54"/>
      <x:c r="C2" s="54"/>
      <x:c r="D2" s="54"/>
      <x:c r="E2" s="54"/>
      <x:c r="F2" s="54"/>
      <x:c r="G2" s="54"/>
      <x:c r="H2" s="54"/>
    </x:row>
    <x:row r="3" ht="30" customHeight="1">
      <x:c r="A3" s="58" t="str">
        <x:v>Formula-driven target status. Gaps are retained for an honest go-live decision.</x:v>
      </x:c>
      <x:c r="B3" s="58"/>
      <x:c r="C3" s="58"/>
      <x:c r="D3" s="58"/>
      <x:c r="E3" s="58"/>
      <x:c r="F3" s="58"/>
      <x:c r="G3" s="58"/>
      <x:c r="H3" s="58"/>
    </x:row>
    <x:row r="5">
      <x:c r="A5" s="63" t="str">
        <x:v>Metric</x:v>
      </x:c>
      <x:c r="B5" s="63" t="str">
        <x:v>Direction</x:v>
      </x:c>
      <x:c r="C5" s="63" t="str">
        <x:v>Baseline</x:v>
      </x:c>
      <x:c r="D5" s="63" t="str">
        <x:v>Future</x:v>
      </x:c>
      <x:c r="E5" s="63" t="str">
        <x:v>Change</x:v>
      </x:c>
      <x:c r="F5" s="63" t="str">
        <x:v>Target</x:v>
      </x:c>
      <x:c r="G5" s="63" t="str">
        <x:v>Target status</x:v>
      </x:c>
      <x:c r="H5" s="63" t="str">
        <x:v>Unit</x:v>
      </x:c>
    </x:row>
    <x:row r="6">
      <x:c r="A6" s="13" t="str">
        <x:v>Auto-match rate</x:v>
      </x:c>
      <x:c r="B6" s="13" t="str">
        <x:v>Higher</x:v>
      </x:c>
      <x:c r="C6" s="68" t="n">
        <x:v>0.1</x:v>
      </x:c>
      <x:c r="D6" s="68" t="n">
        <x:v>0.8074074074074075</x:v>
      </x:c>
      <x:c r="E6" s="68" t="n">
        <x:f>D6-C6</x:f>
        <x:v>0.7074074074074075</x:v>
      </x:c>
      <x:c r="F6" s="68" t="n">
        <x:v>0.78</x:v>
      </x:c>
      <x:c r="G6" s="13" t="str">
        <x:f>IF(B6="Higher",IF(D6&gt;=F6,"MET","GAP"),IF(D6&lt;=F6,"MET","GAP"))</x:f>
        <x:v>MET</x:v>
      </x:c>
      <x:c r="H6" s="13" t="str">
        <x:v>percent</x:v>
      </x:c>
    </x:row>
    <x:row r="7">
      <x:c r="A7" s="13" t="str">
        <x:v>Manual-review rate</x:v>
      </x:c>
      <x:c r="B7" s="13" t="str">
        <x:v>Lower</x:v>
      </x:c>
      <x:c r="C7" s="68" t="n">
        <x:v>0.9032258064516129</x:v>
      </x:c>
      <x:c r="D7" s="68" t="n">
        <x:v>0.21863799283154123</x:v>
      </x:c>
      <x:c r="E7" s="68" t="n">
        <x:f>D7-C7</x:f>
        <x:v>-0.6845878136200716</x:v>
      </x:c>
      <x:c r="F7" s="68" t="n">
        <x:v>0.22</x:v>
      </x:c>
      <x:c r="G7" s="13" t="str">
        <x:f>IF(B7="Higher",IF(D7&gt;=F7,"MET","GAP"),IF(D7&lt;=F7,"MET","GAP"))</x:f>
        <x:v>MET</x:v>
      </x:c>
      <x:c r="H7" s="13" t="str">
        <x:v>percent</x:v>
      </x:c>
    </x:row>
    <x:row r="8">
      <x:c r="A8" s="13" t="str">
        <x:v>Unapplied cash</x:v>
      </x:c>
      <x:c r="B8" s="13" t="str">
        <x:v>Lower</x:v>
      </x:c>
      <x:c r="C8" s="69" t="n">
        <x:v>2192667.31</x:v>
      </x:c>
      <x:c r="D8" s="69" t="n">
        <x:v>550208.69</x:v>
      </x:c>
      <x:c r="E8" s="69" t="n">
        <x:f>D8-C8</x:f>
        <x:v>-1642458.62</x:v>
      </x:c>
      <x:c r="F8" s="69" t="n">
        <x:v>125000</x:v>
      </x:c>
      <x:c r="G8" s="13" t="str">
        <x:f>IF(B8="Higher",IF(D8&gt;=F8,"MET","GAP"),IF(D8&lt;=F8,"MET","GAP"))</x:f>
        <x:v>GAP</x:v>
      </x:c>
      <x:c r="H8" s="13" t="str">
        <x:v>currency</x:v>
      </x:c>
    </x:row>
    <x:row r="9">
      <x:c r="A9" s="13" t="str">
        <x:v>DSO</x:v>
      </x:c>
      <x:c r="B9" s="13" t="str">
        <x:v>Lower</x:v>
      </x:c>
      <x:c r="C9" s="75" t="n">
        <x:v>115.9</x:v>
      </x:c>
      <x:c r="D9" s="75" t="n">
        <x:v>51.6</x:v>
      </x:c>
      <x:c r="E9" s="75" t="n">
        <x:f>D9-C9</x:f>
        <x:v>-64.30000000000001</x:v>
      </x:c>
      <x:c r="F9" s="75" t="n">
        <x:v>48</x:v>
      </x:c>
      <x:c r="G9" s="13" t="str">
        <x:f>IF(B9="Higher",IF(D9&gt;=F9,"MET","GAP"),IF(D9&lt;=F9,"MET","GAP"))</x:f>
        <x:v>GAP</x:v>
      </x:c>
      <x:c r="H9" s="13" t="str">
        <x:v>days</x:v>
      </x:c>
    </x:row>
    <x:row r="10">
      <x:c r="A10" s="13" t="str">
        <x:v>CEI</x:v>
      </x:c>
      <x:c r="B10" s="13" t="str">
        <x:v>Higher</x:v>
      </x:c>
      <x:c r="C10" s="76" t="n">
        <x:v>8.7</x:v>
      </x:c>
      <x:c r="D10" s="76" t="n">
        <x:v>75.7</x:v>
      </x:c>
      <x:c r="E10" s="76" t="n">
        <x:f>D10-C10</x:f>
        <x:v>67</x:v>
      </x:c>
      <x:c r="F10" s="76" t="n">
        <x:v>82</x:v>
      </x:c>
      <x:c r="G10" s="13" t="str">
        <x:f>IF(B10="Higher",IF(D10&gt;=F10,"MET","GAP"),IF(D10&lt;=F10,"MET","GAP"))</x:f>
        <x:v>GAP</x:v>
      </x:c>
      <x:c r="H10" s="13" t="str">
        <x:v>percent_points</x:v>
      </x:c>
    </x:row>
    <x:row r="11">
      <x:c r="A11" s="13" t="str">
        <x:v>Past-due AR</x:v>
      </x:c>
      <x:c r="B11" s="13" t="str">
        <x:v>Lower</x:v>
      </x:c>
      <x:c r="C11" s="68" t="n">
        <x:v>0.6949582377030668</x:v>
      </x:c>
      <x:c r="D11" s="68" t="n">
        <x:v>0.4485933192946679</x:v>
      </x:c>
      <x:c r="E11" s="68" t="n">
        <x:f>D11-C11</x:f>
        <x:v>-0.24636491840839886</x:v>
      </x:c>
      <x:c r="F11" s="68" t="n">
        <x:v>0.3</x:v>
      </x:c>
      <x:c r="G11" s="13" t="str">
        <x:f>IF(B11="Higher",IF(D11&gt;=F11,"MET","GAP"),IF(D11&lt;=F11,"MET","GAP"))</x:f>
        <x:v>GAP</x:v>
      </x:c>
      <x:c r="H11" s="13" t="str">
        <x:v>percent</x:v>
      </x:c>
    </x:row>
    <x:row r="12">
      <x:c r="A12" s="13" t="str">
        <x:v>Processing time</x:v>
      </x:c>
      <x:c r="B12" s="13" t="str">
        <x:v>Lower</x:v>
      </x:c>
      <x:c r="C12" s="75" t="n">
        <x:v>67.7</x:v>
      </x:c>
      <x:c r="D12" s="75" t="n">
        <x:v>13</x:v>
      </x:c>
      <x:c r="E12" s="75" t="n">
        <x:f>D12-C12</x:f>
        <x:v>-54.7</x:v>
      </x:c>
      <x:c r="F12" s="75" t="n">
        <x:v>25</x:v>
      </x:c>
      <x:c r="G12" s="13" t="str">
        <x:f>IF(B12="Higher",IF(D12&gt;=F12,"MET","GAP"),IF(D12&lt;=F12,"MET","GAP"))</x:f>
        <x:v>MET</x:v>
      </x:c>
      <x:c r="H12" s="13" t="str">
        <x:v>hours</x:v>
      </x:c>
    </x:row>
    <x:row r="14">
      <x:c r="A14" s="48" t="str">
        <x:v>KPI changes are controlled implementation benchmark results on synthetic data and are not real customer outcomes.</x:v>
      </x:c>
      <x:c r="B14" s="48"/>
      <x:c r="C14" s="48"/>
      <x:c r="D14" s="48"/>
      <x:c r="E14" s="48"/>
      <x:c r="F14" s="48"/>
      <x:c r="G14" s="48"/>
      <x:c r="H14" s="48"/>
    </x:row>
    <x:row r="15">
      <x:c r="A15" s="48"/>
      <x:c r="B15" s="48"/>
      <x:c r="C15" s="48"/>
      <x:c r="D15" s="48"/>
      <x:c r="E15" s="48"/>
      <x:c r="F15" s="48"/>
      <x:c r="G15" s="48"/>
      <x:c r="H15" s="48"/>
    </x:row>
    <x:row r="16">
      <x:c r="A16" s="48"/>
      <x:c r="B16" s="48"/>
      <x:c r="C16" s="48"/>
      <x:c r="D16" s="48"/>
      <x:c r="E16" s="48"/>
      <x:c r="F16" s="48"/>
      <x:c r="G16" s="48"/>
      <x:c r="H16" s="48"/>
    </x:row>
  </x:sheetData>
  <x:mergeCells>
    <x:mergeCell ref="A1:H2"/>
    <x:mergeCell ref="A3:H3"/>
    <x:mergeCell ref="A14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54" t="str">
        <x:v>Requirements Traceability Matrix</x:v>
      </x:c>
      <x:c r="B1" s="54"/>
      <x:c r="C1" s="54"/>
      <x:c r="D1" s="54"/>
      <x:c r="E1" s="54"/>
      <x:c r="F1" s="54"/>
    </x:row>
    <x:row r="2" ht="30" customHeight="1">
      <x:c r="A2" s="54"/>
      <x:c r="B2" s="54"/>
      <x:c r="C2" s="54"/>
      <x:c r="D2" s="54"/>
      <x:c r="E2" s="54"/>
      <x:c r="F2" s="54"/>
    </x:row>
    <x:row r="3" ht="30" customHeight="1">
      <x:c r="A3" s="58" t="str">
        <x:v>Business requirement to design, evidence and UAT linkage.</x:v>
      </x:c>
      <x:c r="B3" s="58"/>
      <x:c r="C3" s="58"/>
      <x:c r="D3" s="58"/>
      <x:c r="E3" s="58"/>
      <x:c r="F3" s="58"/>
    </x:row>
    <x:row r="5">
      <x:c r="A5" s="63" t="str">
        <x:v>Requirement</x:v>
      </x:c>
      <x:c r="B5" s="63" t="str">
        <x:v>Description</x:v>
      </x:c>
      <x:c r="C5" s="63" t="str">
        <x:v>Design</x:v>
      </x:c>
      <x:c r="D5" s="63" t="str">
        <x:v>Evidence</x:v>
      </x:c>
      <x:c r="E5" s="63" t="str">
        <x:v>UAT</x:v>
      </x:c>
      <x:c r="F5" s="63" t="str">
        <x:v>Status</x:v>
      </x:c>
    </x:row>
    <x:row r="6">
      <x:c r="A6" s="13" t="str">
        <x:v>REQ-001</x:v>
      </x:c>
      <x:c r="B6" s="13" t="str">
        <x:v>Three simulated ERP source styles</x:v>
      </x:c>
      <x:c r="C6" s="13" t="str">
        <x:v>Source config/adapters</x:v>
      </x:c>
      <x:c r="D6" s="13" t="str">
        <x:v>data/raw</x:v>
      </x:c>
      <x:c r="E6" s="13" t="str">
        <x:v>UAT-01–03</x:v>
      </x:c>
      <x:c r="F6" s="13" t="str">
        <x:v>Covered</x:v>
      </x:c>
    </x:row>
    <x:row r="7">
      <x:c r="A7" s="13" t="str">
        <x:v>REQ-002</x:v>
      </x:c>
      <x:c r="B7" s="13" t="str">
        <x:v>Seven canonical entities</x:v>
      </x:c>
      <x:c r="C7" s="13" t="str">
        <x:v>Canonical model</x:v>
      </x:c>
      <x:c r="D7" s="13" t="str">
        <x:v>data/canonical</x:v>
      </x:c>
      <x:c r="E7" s="13" t="str">
        <x:v>UAT-04</x:v>
      </x:c>
      <x:c r="F7" s="13" t="str">
        <x:v>Covered</x:v>
      </x:c>
    </x:row>
    <x:row r="8">
      <x:c r="A8" s="13" t="str">
        <x:v>REQ-003</x:v>
      </x:c>
      <x:c r="B8" s="13" t="str">
        <x:v>Validation control gate</x:v>
      </x:c>
      <x:c r="C8" s="13" t="str">
        <x:v>validation.py</x:v>
      </x:c>
      <x:c r="D8" s="13" t="str">
        <x:v>DQ report</x:v>
      </x:c>
      <x:c r="E8" s="13" t="str">
        <x:v>UAT-05–09</x:v>
      </x:c>
      <x:c r="F8" s="13" t="str">
        <x:v>Covered</x:v>
      </x:c>
    </x:row>
    <x:row r="9">
      <x:c r="A9" s="13" t="str">
        <x:v>REQ-004</x:v>
      </x:c>
      <x:c r="B9" s="13" t="str">
        <x:v>Difficult cash cases</x:v>
      </x:c>
      <x:c r="C9" s="13" t="str">
        <x:v>matching.py</x:v>
      </x:c>
      <x:c r="D9" s="13" t="str">
        <x:v>matches/allocations</x:v>
      </x:c>
      <x:c r="E9" s="13" t="str">
        <x:v>UAT-10–21</x:v>
      </x:c>
      <x:c r="F9" s="13" t="str">
        <x:v>Covered</x:v>
      </x:c>
    </x:row>
    <x:row r="10">
      <x:c r="A10" s="13" t="str">
        <x:v>REQ-005</x:v>
      </x:c>
      <x:c r="B10" s="13" t="str">
        <x:v>Baseline/future KPIs</x:v>
      </x:c>
      <x:c r="C10" s="13" t="str">
        <x:v>kpis.py</x:v>
      </x:c>
      <x:c r="D10" s="13" t="str">
        <x:v>dashboard/workbook</x:v>
      </x:c>
      <x:c r="E10" s="13" t="str">
        <x:v>UAT-22</x:v>
      </x:c>
      <x:c r="F10" s="13" t="str">
        <x:v>Covered</x:v>
      </x:c>
    </x:row>
    <x:row r="11">
      <x:c r="A11" s="13" t="str">
        <x:v>REQ-006</x:v>
      </x:c>
      <x:c r="B11" s="13" t="str">
        <x:v>Collection priority</x:v>
      </x:c>
      <x:c r="C11" s="13" t="str">
        <x:v>collections.py</x:v>
      </x:c>
      <x:c r="D11" s="13" t="str">
        <x:v>worklist</x:v>
      </x:c>
      <x:c r="E11" s="13" t="str">
        <x:v>UAT-23</x:v>
      </x:c>
      <x:c r="F11" s="13" t="str">
        <x:v>Covered</x:v>
      </x:c>
    </x:row>
    <x:row r="12">
      <x:c r="A12" s="13" t="str">
        <x:v>REQ-007</x:v>
      </x:c>
      <x:c r="B12" s="13" t="str">
        <x:v>Multi-agent handoffs</x:v>
      </x:c>
      <x:c r="C12" s="13" t="str">
        <x:v>agent_control.py</x:v>
      </x:c>
      <x:c r="D12" s="13" t="str">
        <x:v>agent decisions/traces</x:v>
      </x:c>
      <x:c r="E12" s="13" t="str">
        <x:v>UAT-24</x:v>
      </x:c>
      <x:c r="F12" s="13" t="str">
        <x:v>Covered</x:v>
      </x:c>
    </x:row>
    <x:row r="13">
      <x:c r="A13" s="13" t="str">
        <x:v>REQ-008</x:v>
      </x:c>
      <x:c r="B13" s="13" t="str">
        <x:v>Human approval gate</x:v>
      </x:c>
      <x:c r="C13" s="13" t="str">
        <x:v>agent policy</x:v>
      </x:c>
      <x:c r="D13" s="13" t="str">
        <x:v>recommendation-only</x:v>
      </x:c>
      <x:c r="E13" s="13" t="str">
        <x:v>UAT-25</x:v>
      </x:c>
      <x:c r="F13" s="13" t="str">
        <x:v>Covered</x:v>
      </x:c>
    </x:row>
    <x:row r="14">
      <x:c r="A14" s="13" t="str">
        <x:v>REQ-009</x:v>
      </x:c>
      <x:c r="B14" s="13" t="str">
        <x:v>MCP tools/resources/prompts</x:v>
      </x:c>
      <x:c r="C14" s="13" t="str">
        <x:v>mcp_server.py</x:v>
      </x:c>
      <x:c r="D14" s="13" t="str">
        <x:v>capability discovery</x:v>
      </x:c>
      <x:c r="E14" s="13" t="str">
        <x:v>UAT-26</x:v>
      </x:c>
      <x:c r="F14" s="13" t="str">
        <x:v>Covered</x:v>
      </x:c>
    </x:row>
    <x:row r="15">
      <x:c r="A15" s="13" t="str">
        <x:v>REQ-010</x:v>
      </x:c>
      <x:c r="B15" s="13" t="str">
        <x:v>Agent observability</x:v>
      </x:c>
      <x:c r="C15" s="13" t="str">
        <x:v>observability.py</x:v>
      </x:c>
      <x:c r="D15" s="13" t="str">
        <x:v>JSONL spans</x:v>
      </x:c>
      <x:c r="E15" s="13" t="str">
        <x:v>UAT-27</x:v>
      </x:c>
      <x:c r="F15" s="13" t="str">
        <x:v>Covered</x:v>
      </x:c>
    </x:row>
    <x:row r="16">
      <x:c r="A16" s="13" t="str">
        <x:v>REQ-011</x:v>
      </x:c>
      <x:c r="B16" s="13" t="str">
        <x:v>Evidence-based go live</x:v>
      </x:c>
      <x:c r="C16" s="13" t="str">
        <x:v>monitor agent</x:v>
      </x:c>
      <x:c r="D16" s="13" t="str">
        <x:v>conditional go</x:v>
      </x:c>
      <x:c r="E16" s="13" t="str">
        <x:v>UAT-28</x:v>
      </x:c>
      <x:c r="F16" s="13" t="str">
        <x:v>Covered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54" t="str">
        <x:v>User Acceptance Testing</x:v>
      </x:c>
      <x:c r="B1" s="54"/>
      <x:c r="C1" s="54"/>
      <x:c r="D1" s="54"/>
      <x:c r="E1" s="54"/>
      <x:c r="F1" s="54"/>
    </x:row>
    <x:row r="2" ht="30" customHeight="1">
      <x:c r="A2" s="54"/>
      <x:c r="B2" s="54"/>
      <x:c r="C2" s="54"/>
      <x:c r="D2" s="54"/>
      <x:c r="E2" s="54"/>
      <x:c r="F2" s="54"/>
    </x:row>
    <x:row r="3" ht="30" customHeight="1">
      <x:c r="A3" s="58" t="str">
        <x:v>Twenty-eight controlled scenarios. All test data and expected impacts are synthetic.</x:v>
      </x:c>
      <x:c r="B3" s="58"/>
      <x:c r="C3" s="58"/>
      <x:c r="D3" s="58"/>
      <x:c r="E3" s="58"/>
      <x:c r="F3" s="58"/>
    </x:row>
    <x:row r="5">
      <x:c r="A5" s="63" t="str">
        <x:v>ID</x:v>
      </x:c>
      <x:c r="B5" s="63" t="str">
        <x:v>Scenario</x:v>
      </x:c>
      <x:c r="C5" s="63" t="str">
        <x:v>Expected result</x:v>
      </x:c>
      <x:c r="D5" s="63" t="str">
        <x:v>Owner</x:v>
      </x:c>
      <x:c r="E5" s="63" t="str">
        <x:v>Status</x:v>
      </x:c>
      <x:c r="F5" s="63" t="str">
        <x:v>Evidence</x:v>
      </x:c>
    </x:row>
    <x:row r="6">
      <x:c r="A6" s="13" t="str">
        <x:v>UAT-01</x:v>
      </x:c>
      <x:c r="B6" s="13" t="str">
        <x:v>SAP-style ingestion</x:v>
      </x:c>
      <x:c r="C6" s="13" t="str">
        <x:v>Seven SAP-style files load with lineage</x:v>
      </x:c>
      <x:c r="D6" s="13" t="str">
        <x:v>Implementation Lead</x:v>
      </x:c>
      <x:c r="E6" s="13" t="str">
        <x:v>Not executed</x:v>
      </x:c>
      <x:c r="F6" s="13" t="str">
        <x:v>Evidence required</x:v>
      </x:c>
    </x:row>
    <x:row r="7">
      <x:c r="A7" s="13" t="str">
        <x:v>UAT-02</x:v>
      </x:c>
      <x:c r="B7" s="13" t="str">
        <x:v>Oracle-style ingestion</x:v>
      </x:c>
      <x:c r="C7" s="13" t="str">
        <x:v>Seven Oracle-style files load with lineage</x:v>
      </x:c>
      <x:c r="D7" s="13" t="str">
        <x:v>Implementation Lead</x:v>
      </x:c>
      <x:c r="E7" s="13" t="str">
        <x:v>Not executed</x:v>
      </x:c>
      <x:c r="F7" s="13" t="str">
        <x:v>Evidence required</x:v>
      </x:c>
    </x:row>
    <x:row r="8">
      <x:c r="A8" s="13" t="str">
        <x:v>UAT-03</x:v>
      </x:c>
      <x:c r="B8" s="13" t="str">
        <x:v>NetSuite-style ingestion</x:v>
      </x:c>
      <x:c r="C8" s="13" t="str">
        <x:v>Seven NetSuite-style files load with lineage</x:v>
      </x:c>
      <x:c r="D8" s="13" t="str">
        <x:v>Implementation Lead</x:v>
      </x:c>
      <x:c r="E8" s="13" t="str">
        <x:v>Not executed</x:v>
      </x:c>
      <x:c r="F8" s="13" t="str">
        <x:v>Evidence required</x:v>
      </x:c>
    </x:row>
    <x:row r="9">
      <x:c r="A9" s="13" t="str">
        <x:v>UAT-04</x:v>
      </x:c>
      <x:c r="B9" s="13" t="str">
        <x:v>Canonical completeness</x:v>
      </x:c>
      <x:c r="C9" s="13" t="str">
        <x:v>Seven entities total 1,908 records</x:v>
      </x:c>
      <x:c r="D9" s="13" t="str">
        <x:v>Implementation Lead</x:v>
      </x:c>
      <x:c r="E9" s="13" t="str">
        <x:v>Not executed</x:v>
      </x:c>
      <x:c r="F9" s="13" t="str">
        <x:v>Evidence required</x:v>
      </x:c>
    </x:row>
    <x:row r="10">
      <x:c r="A10" s="13" t="str">
        <x:v>UAT-05</x:v>
      </x:c>
      <x:c r="B10" s="13" t="str">
        <x:v>Missing required ID</x:v>
      </x:c>
      <x:c r="C10" s="13" t="str">
        <x:v>VAL-001 blocks batch</x:v>
      </x:c>
      <x:c r="D10" s="13" t="str">
        <x:v>Finance Operations</x:v>
      </x:c>
      <x:c r="E10" s="13" t="str">
        <x:v>Not executed</x:v>
      </x:c>
      <x:c r="F10" s="13" t="str">
        <x:v>Evidence required</x:v>
      </x:c>
    </x:row>
    <x:row r="11">
      <x:c r="A11" s="13" t="str">
        <x:v>UAT-06</x:v>
      </x:c>
      <x:c r="B11" s="13" t="str">
        <x:v>Duplicate primary ID</x:v>
      </x:c>
      <x:c r="C11" s="13" t="str">
        <x:v>VAL-002 blocks batch</x:v>
      </x:c>
      <x:c r="D11" s="13" t="str">
        <x:v>Finance Operations</x:v>
      </x:c>
      <x:c r="E11" s="13" t="str">
        <x:v>Not executed</x:v>
      </x:c>
      <x:c r="F11" s="13" t="str">
        <x:v>Evidence required</x:v>
      </x:c>
    </x:row>
    <x:row r="12">
      <x:c r="A12" s="13" t="str">
        <x:v>UAT-07</x:v>
      </x:c>
      <x:c r="B12" s="13" t="str">
        <x:v>Broken customer FK</x:v>
      </x:c>
      <x:c r="C12" s="13" t="str">
        <x:v>VAL-003 blocks batch</x:v>
      </x:c>
      <x:c r="D12" s="13" t="str">
        <x:v>Finance Operations</x:v>
      </x:c>
      <x:c r="E12" s="13" t="str">
        <x:v>Not executed</x:v>
      </x:c>
      <x:c r="F12" s="13" t="str">
        <x:v>Evidence required</x:v>
      </x:c>
    </x:row>
    <x:row r="13">
      <x:c r="A13" s="13" t="str">
        <x:v>UAT-08</x:v>
      </x:c>
      <x:c r="B13" s="13" t="str">
        <x:v>Unsupported currency</x:v>
      </x:c>
      <x:c r="C13" s="13" t="str">
        <x:v>VAL-005 blocks batch</x:v>
      </x:c>
      <x:c r="D13" s="13" t="str">
        <x:v>Finance Operations</x:v>
      </x:c>
      <x:c r="E13" s="13" t="str">
        <x:v>Not executed</x:v>
      </x:c>
      <x:c r="F13" s="13" t="str">
        <x:v>Evidence required</x:v>
      </x:c>
    </x:row>
    <x:row r="14">
      <x:c r="A14" s="13" t="str">
        <x:v>UAT-09</x:v>
      </x:c>
      <x:c r="B14" s="13" t="str">
        <x:v>Invalid invoice dates</x:v>
      </x:c>
      <x:c r="C14" s="13" t="str">
        <x:v>VAL-006 blocks batch</x:v>
      </x:c>
      <x:c r="D14" s="13" t="str">
        <x:v>Finance Operations</x:v>
      </x:c>
      <x:c r="E14" s="13" t="str">
        <x:v>Not executed</x:v>
      </x:c>
      <x:c r="F14" s="13" t="str">
        <x:v>Evidence required</x:v>
      </x:c>
    </x:row>
    <x:row r="15">
      <x:c r="A15" s="13" t="str">
        <x:v>UAT-10</x:v>
      </x:c>
      <x:c r="B15" s="13" t="str">
        <x:v>Exact payment</x:v>
      </x:c>
      <x:c r="C15" s="13" t="str">
        <x:v>One invoice auto-matches</x:v>
      </x:c>
      <x:c r="D15" s="13" t="str">
        <x:v>Finance Operations</x:v>
      </x:c>
      <x:c r="E15" s="13" t="str">
        <x:v>Not executed</x:v>
      </x:c>
      <x:c r="F15" s="13" t="str">
        <x:v>Evidence required</x:v>
      </x:c>
    </x:row>
    <x:row r="16">
      <x:c r="A16" s="13" t="str">
        <x:v>UAT-11</x:v>
      </x:c>
      <x:c r="B16" s="13" t="str">
        <x:v>Partial payment</x:v>
      </x:c>
      <x:c r="C16" s="13" t="str">
        <x:v>Cash applies and balance remains</x:v>
      </x:c>
      <x:c r="D16" s="13" t="str">
        <x:v>Finance Operations</x:v>
      </x:c>
      <x:c r="E16" s="13" t="str">
        <x:v>Not executed</x:v>
      </x:c>
      <x:c r="F16" s="13" t="str">
        <x:v>Evidence required</x:v>
      </x:c>
    </x:row>
    <x:row r="17">
      <x:c r="A17" s="13" t="str">
        <x:v>UAT-12</x:v>
      </x:c>
      <x:c r="B17" s="13" t="str">
        <x:v>Overpayment</x:v>
      </x:c>
      <x:c r="C17" s="13" t="str">
        <x:v>Invoice clears; residual routes</x:v>
      </x:c>
      <x:c r="D17" s="13" t="str">
        <x:v>Finance Operations</x:v>
      </x:c>
      <x:c r="E17" s="13" t="str">
        <x:v>Not executed</x:v>
      </x:c>
      <x:c r="F17" s="13" t="str">
        <x:v>Evidence required</x:v>
      </x:c>
    </x:row>
    <x:row r="18">
      <x:c r="A18" s="13" t="str">
        <x:v>UAT-13</x:v>
      </x:c>
      <x:c r="B18" s="13" t="str">
        <x:v>One payment / multiple invoices</x:v>
      </x:c>
      <x:c r="C18" s="13" t="str">
        <x:v>Two allocations created</x:v>
      </x:c>
      <x:c r="D18" s="13" t="str">
        <x:v>Finance Operations</x:v>
      </x:c>
      <x:c r="E18" s="13" t="str">
        <x:v>Not executed</x:v>
      </x:c>
      <x:c r="F18" s="13" t="str">
        <x:v>Evidence required</x:v>
      </x:c>
    </x:row>
    <x:row r="19">
      <x:c r="A19" s="13" t="str">
        <x:v>UAT-14</x:v>
      </x:c>
      <x:c r="B19" s="13" t="str">
        <x:v>Multiple payments / one invoice</x:v>
      </x:c>
      <x:c r="C19" s="13" t="str">
        <x:v>Successive allocations clear invoice</x:v>
      </x:c>
      <x:c r="D19" s="13" t="str">
        <x:v>Finance Operations</x:v>
      </x:c>
      <x:c r="E19" s="13" t="str">
        <x:v>Not executed</x:v>
      </x:c>
      <x:c r="F19" s="13" t="str">
        <x:v>Evidence required</x:v>
      </x:c>
    </x:row>
    <x:row r="20">
      <x:c r="A20" s="13" t="str">
        <x:v>UAT-15</x:v>
      </x:c>
      <x:c r="B20" s="13" t="str">
        <x:v>Missing remittance</x:v>
      </x:c>
      <x:c r="C20" s="13" t="str">
        <x:v>Unique amount may infer; ambiguity cannot</x:v>
      </x:c>
      <x:c r="D20" s="13" t="str">
        <x:v>Finance Operations</x:v>
      </x:c>
      <x:c r="E20" s="13" t="str">
        <x:v>Not executed</x:v>
      </x:c>
      <x:c r="F20" s="13" t="str">
        <x:v>Evidence required</x:v>
      </x:c>
    </x:row>
    <x:row r="21">
      <x:c r="A21" s="13" t="str">
        <x:v>UAT-16</x:v>
      </x:c>
      <x:c r="B21" s="13" t="str">
        <x:v>Cross-currency</x:v>
      </x:c>
      <x:c r="C21" s="13" t="str">
        <x:v>Configured FX used</x:v>
      </x:c>
      <x:c r="D21" s="13" t="str">
        <x:v>Finance Operations</x:v>
      </x:c>
      <x:c r="E21" s="13" t="str">
        <x:v>Not executed</x:v>
      </x:c>
      <x:c r="F21" s="13" t="str">
        <x:v>Evidence required</x:v>
      </x:c>
    </x:row>
    <x:row r="22">
      <x:c r="A22" s="13" t="str">
        <x:v>UAT-17</x:v>
      </x:c>
      <x:c r="B22" s="13" t="str">
        <x:v>Amount tolerance</x:v>
      </x:c>
      <x:c r="C22" s="13" t="str">
        <x:v>Within-tolerance variance accepted</x:v>
      </x:c>
      <x:c r="D22" s="13" t="str">
        <x:v>Finance Operations</x:v>
      </x:c>
      <x:c r="E22" s="13" t="str">
        <x:v>Not executed</x:v>
      </x:c>
      <x:c r="F22" s="13" t="str">
        <x:v>Evidence required</x:v>
      </x:c>
    </x:row>
    <x:row r="23">
      <x:c r="A23" s="13" t="str">
        <x:v>UAT-18</x:v>
      </x:c>
      <x:c r="B23" s="13" t="str">
        <x:v>Duplicate payment</x:v>
      </x:c>
      <x:c r="C23" s="13" t="str">
        <x:v>Later record quarantined</x:v>
      </x:c>
      <x:c r="D23" s="13" t="str">
        <x:v>Finance Operations</x:v>
      </x:c>
      <x:c r="E23" s="13" t="str">
        <x:v>Not executed</x:v>
      </x:c>
      <x:c r="F23" s="13" t="str">
        <x:v>Evidence required</x:v>
      </x:c>
    </x:row>
    <x:row r="24">
      <x:c r="A24" s="13" t="str">
        <x:v>UAT-19</x:v>
      </x:c>
      <x:c r="B24" s="13" t="str">
        <x:v>Deduction short-pay</x:v>
      </x:c>
      <x:c r="C24" s="13" t="str">
        <x:v>Payment plus deduction clears</x:v>
      </x:c>
      <x:c r="D24" s="13" t="str">
        <x:v>Finance Operations</x:v>
      </x:c>
      <x:c r="E24" s="13" t="str">
        <x:v>Not executed</x:v>
      </x:c>
      <x:c r="F24" s="13" t="str">
        <x:v>Evidence required</x:v>
      </x:c>
    </x:row>
    <x:row r="25">
      <x:c r="A25" s="13" t="str">
        <x:v>UAT-20</x:v>
      </x:c>
      <x:c r="B25" s="13" t="str">
        <x:v>Unknown reference</x:v>
      </x:c>
      <x:c r="C25" s="13" t="str">
        <x:v>Cash remains unapplied</x:v>
      </x:c>
      <x:c r="D25" s="13" t="str">
        <x:v>Finance Operations</x:v>
      </x:c>
      <x:c r="E25" s="13" t="str">
        <x:v>Not executed</x:v>
      </x:c>
      <x:c r="F25" s="13" t="str">
        <x:v>Evidence required</x:v>
      </x:c>
    </x:row>
    <x:row r="26">
      <x:c r="A26" s="13" t="str">
        <x:v>UAT-21</x:v>
      </x:c>
      <x:c r="B26" s="13" t="str">
        <x:v>High-value unmatched</x:v>
      </x:c>
      <x:c r="C26" s="13" t="str">
        <x:v>Senior analyst route</x:v>
      </x:c>
      <x:c r="D26" s="13" t="str">
        <x:v>Finance Operations</x:v>
      </x:c>
      <x:c r="E26" s="13" t="str">
        <x:v>Not executed</x:v>
      </x:c>
      <x:c r="F26" s="13" t="str">
        <x:v>Evidence required</x:v>
      </x:c>
    </x:row>
    <x:row r="27">
      <x:c r="A27" s="13" t="str">
        <x:v>UAT-22</x:v>
      </x:c>
      <x:c r="B27" s="13" t="str">
        <x:v>Benchmark comparison</x:v>
      </x:c>
      <x:c r="C27" s="13" t="str">
        <x:v>Seven movements and disclaimer visible</x:v>
      </x:c>
      <x:c r="D27" s="13" t="str">
        <x:v>Finance Operations</x:v>
      </x:c>
      <x:c r="E27" s="13" t="str">
        <x:v>Not executed</x:v>
      </x:c>
      <x:c r="F27" s="13" t="str">
        <x:v>Evidence required</x:v>
      </x:c>
    </x:row>
    <x:row r="28">
      <x:c r="A28" s="13" t="str">
        <x:v>UAT-23</x:v>
      </x:c>
      <x:c r="B28" s="13" t="str">
        <x:v>Collection weighting</x:v>
      </x:c>
      <x:c r="C28" s="13" t="str">
        <x:v>Weights change order</x:v>
      </x:c>
      <x:c r="D28" s="13" t="str">
        <x:v>Platform / Controls</x:v>
      </x:c>
      <x:c r="E28" s="13" t="str">
        <x:v>Not executed</x:v>
      </x:c>
      <x:c r="F28" s="13" t="str">
        <x:v>Evidence required</x:v>
      </x:c>
    </x:row>
    <x:row r="29">
      <x:c r="A29" s="13" t="str">
        <x:v>UAT-24</x:v>
      </x:c>
      <x:c r="B29" s="13" t="str">
        <x:v>Agent handoff</x:v>
      </x:c>
      <x:c r="C29" s="13" t="str">
        <x:v>Supervisor handoff traced</x:v>
      </x:c>
      <x:c r="D29" s="13" t="str">
        <x:v>Platform / Controls</x:v>
      </x:c>
      <x:c r="E29" s="13" t="str">
        <x:v>Not executed</x:v>
      </x:c>
      <x:c r="F29" s="13" t="str">
        <x:v>Evidence required</x:v>
      </x:c>
    </x:row>
    <x:row r="30">
      <x:c r="A30" s="13" t="str">
        <x:v>UAT-25</x:v>
      </x:c>
      <x:c r="B30" s="13" t="str">
        <x:v>Human control gate</x:v>
      </x:c>
      <x:c r="C30" s="13" t="str">
        <x:v>Approval required; no action executed</x:v>
      </x:c>
      <x:c r="D30" s="13" t="str">
        <x:v>Platform / Controls</x:v>
      </x:c>
      <x:c r="E30" s="13" t="str">
        <x:v>Not executed</x:v>
      </x:c>
      <x:c r="F30" s="13" t="str">
        <x:v>Evidence required</x:v>
      </x:c>
    </x:row>
    <x:row r="31">
      <x:c r="A31" s="13" t="str">
        <x:v>UAT-26</x:v>
      </x:c>
      <x:c r="B31" s="13" t="str">
        <x:v>MCP discovery</x:v>
      </x:c>
      <x:c r="C31" s="13" t="str">
        <x:v>4 tools, 3 resources, 2 prompts</x:v>
      </x:c>
      <x:c r="D31" s="13" t="str">
        <x:v>Platform / Controls</x:v>
      </x:c>
      <x:c r="E31" s="13" t="str">
        <x:v>Not executed</x:v>
      </x:c>
      <x:c r="F31" s="13" t="str">
        <x:v>Evidence required</x:v>
      </x:c>
    </x:row>
    <x:row r="32">
      <x:c r="A32" s="13" t="str">
        <x:v>UAT-27</x:v>
      </x:c>
      <x:c r="B32" s="13" t="str">
        <x:v>Telemetry privacy</x:v>
      </x:c>
      <x:c r="C32" s="13" t="str">
        <x:v>Spans exist; content capture false</x:v>
      </x:c>
      <x:c r="D32" s="13" t="str">
        <x:v>Platform / Controls</x:v>
      </x:c>
      <x:c r="E32" s="13" t="str">
        <x:v>Not executed</x:v>
      </x:c>
      <x:c r="F32" s="13" t="str">
        <x:v>Evidence required</x:v>
      </x:c>
    </x:row>
    <x:row r="33">
      <x:c r="A33" s="13" t="str">
        <x:v>UAT-28</x:v>
      </x:c>
      <x:c r="B33" s="13" t="str">
        <x:v>Go-live decision</x:v>
      </x:c>
      <x:c r="C33" s="13" t="str">
        <x:v>CONDITIONAL_GO</x:v>
      </x:c>
      <x:c r="D33" s="13" t="str">
        <x:v>Platform / Controls</x:v>
      </x:c>
      <x:c r="E33" s="13" t="str">
        <x:v>Not executed</x:v>
      </x:c>
      <x:c r="F33" s="13" t="str">
        <x:v>Evidence required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24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54" t="str">
        <x:v>Cutover and Rollback Checklist</x:v>
      </x:c>
      <x:c r="B1" s="54"/>
      <x:c r="C1" s="54"/>
      <x:c r="D1" s="54"/>
      <x:c r="E1" s="54"/>
      <x:c r="F1" s="54"/>
    </x:row>
    <x:row r="2" ht="30" customHeight="1">
      <x:c r="A2" s="54"/>
      <x:c r="B2" s="54"/>
      <x:c r="C2" s="54"/>
      <x:c r="D2" s="54"/>
      <x:c r="E2" s="54"/>
      <x:c r="F2" s="54"/>
    </x:row>
    <x:row r="3" ht="30" customHeight="1">
      <x:c r="A3" s="58" t="str">
        <x:v>No production cutover is performed by this repository; this is the implementation control pack.</x:v>
      </x:c>
      <x:c r="B3" s="58"/>
      <x:c r="C3" s="58"/>
      <x:c r="D3" s="58"/>
      <x:c r="E3" s="58"/>
      <x:c r="F3" s="58"/>
    </x:row>
    <x:row r="5">
      <x:c r="A5" s="63" t="str">
        <x:v>Phase</x:v>
      </x:c>
      <x:c r="B5" s="63" t="str">
        <x:v>Control/action</x:v>
      </x:c>
      <x:c r="C5" s="63" t="str">
        <x:v>Owner</x:v>
      </x:c>
      <x:c r="D5" s="63" t="str">
        <x:v>Status</x:v>
      </x:c>
      <x:c r="E5" s="63" t="str">
        <x:v>Sign-off</x:v>
      </x:c>
      <x:c r="F5" s="63" t="str">
        <x:v>Rollback/stop condition</x:v>
      </x:c>
    </x:row>
    <x:row r="6">
      <x:c r="A6" s="13" t="str">
        <x:v>Entry</x:v>
      </x:c>
      <x:c r="B6" s="13" t="str">
        <x:v>Approve mappings, tolerances, routes, targets and agent boundary</x:v>
      </x:c>
      <x:c r="C6" s="13" t="str">
        <x:v>Finance + Controls</x:v>
      </x:c>
      <x:c r="D6" s="13" t="str">
        <x:v>Open</x:v>
      </x:c>
      <x:c r="E6" s="13" t="str"/>
      <x:c r="F6" s="13" t="str">
        <x:v>Block if incomplete</x:v>
      </x:c>
    </x:row>
    <x:row r="7">
      <x:c r="A7" s="13" t="str">
        <x:v>Entry</x:v>
      </x:c>
      <x:c r="B7" s="13" t="str">
        <x:v>Sign UAT-01–28 and close Severity-1 defects</x:v>
      </x:c>
      <x:c r="C7" s="13" t="str">
        <x:v>Implementation Lead</x:v>
      </x:c>
      <x:c r="D7" s="13" t="str">
        <x:v>Open</x:v>
      </x:c>
      <x:c r="E7" s="13" t="str"/>
      <x:c r="F7" s="13" t="str">
        <x:v>Block if incomplete</x:v>
      </x:c>
    </x:row>
    <x:row r="8">
      <x:c r="A8" s="13" t="str">
        <x:v>Entry</x:v>
      </x:c>
      <x:c r="B8" s="13" t="str">
        <x:v>Reconcile source counts, cash totals and currencies</x:v>
      </x:c>
      <x:c r="C8" s="13" t="str">
        <x:v>Data Lead</x:v>
      </x:c>
      <x:c r="D8" s="13" t="str">
        <x:v>Open</x:v>
      </x:c>
      <x:c r="E8" s="13" t="str"/>
      <x:c r="F8" s="13" t="str">
        <x:v>Block if variance</x:v>
      </x:c>
    </x:row>
    <x:row r="9">
      <x:c r="A9" s="13" t="str">
        <x:v>Security</x:v>
      </x:c>
      <x:c r="B9" s="13" t="str">
        <x:v>Restrict MCP clients; configure auth outside localhost</x:v>
      </x:c>
      <x:c r="C9" s="13" t="str">
        <x:v>Platform Security</x:v>
      </x:c>
      <x:c r="D9" s="13" t="str">
        <x:v>Open</x:v>
      </x:c>
      <x:c r="E9" s="13" t="str"/>
      <x:c r="F9" s="13" t="str">
        <x:v>Block external access</x:v>
      </x:c>
    </x:row>
    <x:row r="10">
      <x:c r="A10" s="13" t="str">
        <x:v>Security</x:v>
      </x:c>
      <x:c r="B10" s="13" t="str">
        <x:v>Confirm trace content capture disabled</x:v>
      </x:c>
      <x:c r="C10" s="13" t="str">
        <x:v>Platform Security</x:v>
      </x:c>
      <x:c r="D10" s="13" t="str">
        <x:v>Open</x:v>
      </x:c>
      <x:c r="E10" s="13" t="str"/>
      <x:c r="F10" s="13" t="str">
        <x:v>Block if enabled</x:v>
      </x:c>
    </x:row>
    <x:row r="11">
      <x:c r="A11" s="13" t="str">
        <x:v>Cutover</x:v>
      </x:c>
      <x:c r="B11" s="13" t="str">
        <x:v>Freeze configuration and tag release candidate</x:v>
      </x:c>
      <x:c r="C11" s="13" t="str">
        <x:v>Release Manager</x:v>
      </x:c>
      <x:c r="D11" s="13" t="str">
        <x:v>Open</x:v>
      </x:c>
      <x:c r="E11" s="13" t="str"/>
      <x:c r="F11" s="13" t="str">
        <x:v>Rollback to prior tag</x:v>
      </x:c>
    </x:row>
    <x:row r="12">
      <x:c r="A12" s="13" t="str">
        <x:v>Cutover</x:v>
      </x:c>
      <x:c r="B12" s="13" t="str">
        <x:v>Run validation and seven smoke cases</x:v>
      </x:c>
      <x:c r="C12" s="13" t="str">
        <x:v>QA Lead</x:v>
      </x:c>
      <x:c r="D12" s="13" t="str">
        <x:v>Open</x:v>
      </x:c>
      <x:c r="E12" s="13" t="str"/>
      <x:c r="F12" s="13" t="str">
        <x:v>Stop on error</x:v>
      </x:c>
    </x:row>
    <x:row r="13">
      <x:c r="A13" s="13" t="str">
        <x:v>Cutover</x:v>
      </x:c>
      <x:c r="B13" s="13" t="str">
        <x:v>Enable recommendation-only agents and read tools</x:v>
      </x:c>
      <x:c r="C13" s="13" t="str">
        <x:v>AI Platform Owner</x:v>
      </x:c>
      <x:c r="D13" s="13" t="str">
        <x:v>Open</x:v>
      </x:c>
      <x:c r="E13" s="13" t="str"/>
      <x:c r="F13" s="13" t="str">
        <x:v>Disable services</x:v>
      </x:c>
    </x:row>
    <x:row r="14">
      <x:c r="A14" s="13" t="str">
        <x:v>Cutover</x:v>
      </x:c>
      <x:c r="B14" s="13" t="str">
        <x:v>Publish dashboard and hypercare rota</x:v>
      </x:c>
      <x:c r="C14" s="13" t="str">
        <x:v>AR Manager</x:v>
      </x:c>
      <x:c r="D14" s="13" t="str">
        <x:v>Open</x:v>
      </x:c>
      <x:c r="E14" s="13" t="str"/>
      <x:c r="F14" s="13" t="str">
        <x:v>Revert dashboard</x:v>
      </x:c>
    </x:row>
    <x:row r="15">
      <x:c r="A15" s="13" t="str">
        <x:v>Rollback</x:v>
      </x:c>
      <x:c r="B15" s="13" t="str">
        <x:v>Stop new batches and disable agent/MCP access</x:v>
      </x:c>
      <x:c r="C15" s="13" t="str">
        <x:v>Incident Commander</x:v>
      </x:c>
      <x:c r="D15" s="13" t="str">
        <x:v>Ready</x:v>
      </x:c>
      <x:c r="E15" s="13" t="str"/>
      <x:c r="F15" s="13" t="str">
        <x:v>Immediate</x:v>
      </x:c>
    </x:row>
    <x:row r="16">
      <x:c r="A16" s="13" t="str">
        <x:v>Rollback</x:v>
      </x:c>
      <x:c r="B16" s="13" t="str">
        <x:v>Restore prior configuration and canonical snapshot</x:v>
      </x:c>
      <x:c r="C16" s="13" t="str">
        <x:v>Data Lead</x:v>
      </x:c>
      <x:c r="D16" s="13" t="str">
        <x:v>Ready</x:v>
      </x:c>
      <x:c r="E16" s="13" t="str"/>
      <x:c r="F16" s="13" t="str">
        <x:v>Verify hashes</x:v>
      </x:c>
    </x:row>
    <x:row r="17">
      <x:c r="A17" s="13" t="str">
        <x:v>Rollback</x:v>
      </x:c>
      <x:c r="B17" s="13" t="str">
        <x:v>Reconcile and obtain restart approval</x:v>
      </x:c>
      <x:c r="C17" s="13" t="str">
        <x:v>Finance + Technology</x:v>
      </x:c>
      <x:c r="D17" s="13" t="str">
        <x:v>Ready</x:v>
      </x:c>
      <x:c r="E17" s="13" t="str"/>
      <x:c r="F17" s="13" t="str">
        <x:v>No self-restart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54" t="str">
        <x:v>Go-Live Monitoring Dashboard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4"/>
      <x:c r="B2" s="54"/>
      <x:c r="C2" s="54"/>
      <x:c r="D2" s="54"/>
      <x:c r="E2" s="54"/>
      <x:c r="F2" s="54"/>
      <x:c r="G2" s="54"/>
      <x:c r="H2" s="54"/>
    </x:row>
    <x:row r="3" ht="30" customHeight="1">
      <x:c r="A3" s="58" t="str">
        <x:v>Formula-linked to the benchmark sheet. Seed-42 decision retains unmet stretch targets.</x:v>
      </x:c>
      <x:c r="B3" s="58"/>
      <x:c r="C3" s="58"/>
      <x:c r="D3" s="58"/>
      <x:c r="E3" s="58"/>
      <x:c r="F3" s="58"/>
      <x:c r="G3" s="58"/>
      <x:c r="H3" s="58"/>
    </x:row>
    <x:row r="5">
      <x:c r="A5" s="63" t="str">
        <x:v>Control</x:v>
      </x:c>
      <x:c r="B5" s="63" t="str">
        <x:v>Result</x:v>
      </x:c>
      <x:c r="D5" s="63" t="str">
        <x:v>KPI</x:v>
      </x:c>
      <x:c r="E5" s="63" t="str">
        <x:v>Baseline</x:v>
      </x:c>
      <x:c r="F5" s="63" t="str">
        <x:v>Future</x:v>
      </x:c>
      <x:c r="G5" s="63" t="str">
        <x:v>Target</x:v>
      </x:c>
      <x:c r="H5" s="63" t="str">
        <x:v>Status</x:v>
      </x:c>
      <x:c r="J5" t="str">
        <x:v>Rate KPI</x:v>
      </x:c>
      <x:c r="K5" t="str">
        <x:v>Baseline</x:v>
      </x:c>
      <x:c r="L5" t="str">
        <x:v>Future</x:v>
      </x:c>
    </x:row>
    <x:row r="6">
      <x:c r="A6" s="13" t="str">
        <x:v>Data quality</x:v>
      </x:c>
      <x:c r="B6" s="13" t="str">
        <x:f>'Data Quality'!B9</x:f>
        <x:v>PASS WITH WARNINGS</x:v>
      </x:c>
      <x:c r="D6" s="13" t="str">
        <x:f>'KPI Benchmark'!A6</x:f>
        <x:v>Auto-match rate</x:v>
      </x:c>
      <x:c r="E6" s="68" t="n">
        <x:f>'KPI Benchmark'!C6</x:f>
        <x:v>0.1</x:v>
      </x:c>
      <x:c r="F6" s="68" t="n">
        <x:f>'KPI Benchmark'!D6</x:f>
        <x:v>0.8074074074074075</x:v>
      </x:c>
      <x:c r="G6" s="68" t="n">
        <x:f>'KPI Benchmark'!F6</x:f>
        <x:v>0.78</x:v>
      </x:c>
      <x:c r="H6" s="13" t="str">
        <x:f>'KPI Benchmark'!G6</x:f>
        <x:v>MET</x:v>
      </x:c>
      <x:c r="J6" t="str">
        <x:v>Auto-match</x:v>
      </x:c>
      <x:c r="K6" s="77" t="n">
        <x:v>0.1</x:v>
      </x:c>
      <x:c r="L6" s="77" t="n">
        <x:v>0.8074074074074075</x:v>
      </x:c>
    </x:row>
    <x:row r="7">
      <x:c r="A7" s="13" t="str">
        <x:v>Target gaps</x:v>
      </x:c>
      <x:c r="B7" s="13" t="n">
        <x:f>COUNTIF('KPI Benchmark'!G6:G12,"GAP")</x:f>
        <x:v>4</x:v>
      </x:c>
      <x:c r="D7" s="13" t="str">
        <x:f>'KPI Benchmark'!A7</x:f>
        <x:v>Manual-review rate</x:v>
      </x:c>
      <x:c r="E7" s="68" t="n">
        <x:f>'KPI Benchmark'!C7</x:f>
        <x:v>0.9032258064516129</x:v>
      </x:c>
      <x:c r="F7" s="68" t="n">
        <x:f>'KPI Benchmark'!D7</x:f>
        <x:v>0.21863799283154123</x:v>
      </x:c>
      <x:c r="G7" s="68" t="n">
        <x:f>'KPI Benchmark'!F7</x:f>
        <x:v>0.22</x:v>
      </x:c>
      <x:c r="H7" s="13" t="str">
        <x:f>'KPI Benchmark'!G7</x:f>
        <x:v>MET</x:v>
      </x:c>
      <x:c r="J7" t="str">
        <x:v>Manual review</x:v>
      </x:c>
      <x:c r="K7" s="77" t="n">
        <x:v>0.9032258064516129</x:v>
      </x:c>
      <x:c r="L7" s="77" t="n">
        <x:v>0.21863799283154123</x:v>
      </x:c>
    </x:row>
    <x:row r="8">
      <x:c r="A8" s="13" t="str">
        <x:v>Go-live decision</x:v>
      </x:c>
      <x:c r="B8" s="13" t="str">
        <x:f>IF(AND(B6="PASS WITH WARNINGS",B7=0),"GO",IF(AND(B6="PASS WITH WARNINGS",B7&lt;=4),"CONDITIONAL GO","NO GO"))</x:f>
        <x:v>CONDITIONAL GO</x:v>
      </x:c>
      <x:c r="D8" s="13" t="str">
        <x:f>'KPI Benchmark'!A8</x:f>
        <x:v>Unapplied cash</x:v>
      </x:c>
      <x:c r="E8" s="69" t="n">
        <x:f>'KPI Benchmark'!C8</x:f>
        <x:v>2192667.31</x:v>
      </x:c>
      <x:c r="F8" s="69" t="n">
        <x:f>'KPI Benchmark'!D8</x:f>
        <x:v>550208.69</x:v>
      </x:c>
      <x:c r="G8" s="69" t="n">
        <x:f>'KPI Benchmark'!F8</x:f>
        <x:v>125000</x:v>
      </x:c>
      <x:c r="H8" s="13" t="str">
        <x:f>'KPI Benchmark'!G8</x:f>
        <x:v>GAP</x:v>
      </x:c>
      <x:c r="J8" t="str">
        <x:v>Past-due AR</x:v>
      </x:c>
      <x:c r="K8" s="77" t="n">
        <x:v>0.6949582377030668</x:v>
      </x:c>
      <x:c r="L8" s="77" t="n">
        <x:v>0.4485933192946679</x:v>
      </x:c>
    </x:row>
    <x:row r="9">
      <x:c r="A9" s="13" t="str">
        <x:v>Agent approval bypass</x:v>
      </x:c>
      <x:c r="B9" s="13" t="n">
        <x:v>0</x:v>
      </x:c>
      <x:c r="D9" s="13" t="str">
        <x:f>'KPI Benchmark'!A9</x:f>
        <x:v>DSO</x:v>
      </x:c>
      <x:c r="E9" s="75" t="n">
        <x:f>'KPI Benchmark'!C9</x:f>
        <x:v>115.9</x:v>
      </x:c>
      <x:c r="F9" s="75" t="n">
        <x:f>'KPI Benchmark'!D9</x:f>
        <x:v>51.6</x:v>
      </x:c>
      <x:c r="G9" s="75" t="n">
        <x:f>'KPI Benchmark'!F9</x:f>
        <x:v>48</x:v>
      </x:c>
      <x:c r="H9" s="13" t="str">
        <x:f>'KPI Benchmark'!G9</x:f>
        <x:v>GAP</x:v>
      </x:c>
    </x:row>
    <x:row r="10">
      <x:c r="D10" s="13" t="str">
        <x:f>'KPI Benchmark'!A10</x:f>
        <x:v>CEI</x:v>
      </x:c>
      <x:c r="E10" s="76" t="n">
        <x:f>'KPI Benchmark'!C10</x:f>
        <x:v>8.7</x:v>
      </x:c>
      <x:c r="F10" s="76" t="n">
        <x:f>'KPI Benchmark'!D10</x:f>
        <x:v>75.7</x:v>
      </x:c>
      <x:c r="G10" s="76" t="n">
        <x:f>'KPI Benchmark'!F10</x:f>
        <x:v>82</x:v>
      </x:c>
      <x:c r="H10" s="13" t="str">
        <x:f>'KPI Benchmark'!G10</x:f>
        <x:v>GAP</x:v>
      </x:c>
    </x:row>
    <x:row r="11">
      <x:c r="D11" s="13" t="str">
        <x:f>'KPI Benchmark'!A11</x:f>
        <x:v>Past-due AR</x:v>
      </x:c>
      <x:c r="E11" s="68" t="n">
        <x:f>'KPI Benchmark'!C11</x:f>
        <x:v>0.6949582377030668</x:v>
      </x:c>
      <x:c r="F11" s="68" t="n">
        <x:f>'KPI Benchmark'!D11</x:f>
        <x:v>0.4485933192946679</x:v>
      </x:c>
      <x:c r="G11" s="68" t="n">
        <x:f>'KPI Benchmark'!F11</x:f>
        <x:v>0.3</x:v>
      </x:c>
      <x:c r="H11" s="13" t="str">
        <x:f>'KPI Benchmark'!G11</x:f>
        <x:v>GAP</x:v>
      </x:c>
    </x:row>
    <x:row r="12">
      <x:c r="D12" s="13" t="str">
        <x:f>'KPI Benchmark'!A12</x:f>
        <x:v>Processing time</x:v>
      </x:c>
      <x:c r="E12" s="75" t="n">
        <x:f>'KPI Benchmark'!C12</x:f>
        <x:v>67.7</x:v>
      </x:c>
      <x:c r="F12" s="75" t="n">
        <x:f>'KPI Benchmark'!D12</x:f>
        <x:v>13</x:v>
      </x:c>
      <x:c r="G12" s="75" t="n">
        <x:f>'KPI Benchmark'!F12</x:f>
        <x:v>25</x:v>
      </x:c>
      <x:c r="H12" s="13" t="str">
        <x:f>'KPI Benchmark'!G12</x:f>
        <x:v>MET</x:v>
      </x:c>
    </x:row>
    <x:row r="33">
      <x:c r="A33" s="78" t="str">
        <x:v>Conditional-go conditions: retain human approval for posting, write-off, refund and master-data actions; operate hypercare for unapplied cash and residual overpayments.</x:v>
      </x:c>
      <x:c r="B33" s="78"/>
      <x:c r="C33" s="78"/>
      <x:c r="D33" s="78"/>
      <x:c r="E33" s="78"/>
      <x:c r="F33" s="78"/>
      <x:c r="G33" s="78"/>
      <x:c r="H33" s="78"/>
    </x:row>
    <x:row r="34">
      <x:c r="A34" s="78"/>
      <x:c r="B34" s="78"/>
      <x:c r="C34" s="78"/>
      <x:c r="D34" s="78"/>
      <x:c r="E34" s="78"/>
      <x:c r="F34" s="78"/>
      <x:c r="G34" s="78"/>
      <x:c r="H34" s="78"/>
    </x:row>
    <x:row r="35">
      <x:c r="A35" s="78"/>
      <x:c r="B35" s="78"/>
      <x:c r="C35" s="78"/>
      <x:c r="D35" s="78"/>
      <x:c r="E35" s="78"/>
      <x:c r="F35" s="78"/>
      <x:c r="G35" s="78"/>
      <x:c r="H35" s="78"/>
    </x:row>
    <x:row r="36">
      <x:c r="A36" s="78"/>
      <x:c r="B36" s="78"/>
      <x:c r="C36" s="78"/>
      <x:c r="D36" s="78"/>
      <x:c r="E36" s="78"/>
      <x:c r="F36" s="78"/>
      <x:c r="G36" s="78"/>
      <x:c r="H36" s="78"/>
    </x:row>
  </x:sheetData>
  <x:mergeCells>
    <x:mergeCell ref="A1:H2"/>
    <x:mergeCell ref="A3:H3"/>
    <x:mergeCell ref="A33:H36"/>
  </x:mergeCells>
  <x:pageMargins left="0.7" right="0.7" top="0.75" bottom="0.75" header="0.3" footer="0.3"/>
  <x:drawing xmlns:r="http://schemas.openxmlformats.org/officeDocument/2006/relationships" r:id="Rd44c2df4b9eb49f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0" customHeight="1">
      <x:c r="A1" s="54" t="str">
        <x:v>Workbook Control Checks</x:v>
      </x:c>
      <x:c r="B1" s="54"/>
      <x:c r="C1" s="54"/>
      <x:c r="D1" s="54"/>
      <x:c r="E1" s="54"/>
      <x:c r="F1" s="54"/>
    </x:row>
    <x:row r="2" ht="30" customHeight="1">
      <x:c r="A2" s="54"/>
      <x:c r="B2" s="54"/>
      <x:c r="C2" s="54"/>
      <x:c r="D2" s="54"/>
      <x:c r="E2" s="54"/>
      <x:c r="F2" s="54"/>
    </x:row>
    <x:row r="3" ht="30" customHeight="1">
      <x:c r="A3" s="58" t="str">
        <x:v>Formula checks support reviewer inspection; all should show PASS.</x:v>
      </x:c>
      <x:c r="B3" s="58"/>
      <x:c r="C3" s="58"/>
      <x:c r="D3" s="58"/>
      <x:c r="E3" s="58"/>
      <x:c r="F3" s="58"/>
    </x:row>
    <x:row r="5">
      <x:c r="A5" s="63" t="str">
        <x:v>Check</x:v>
      </x:c>
      <x:c r="B5" s="63" t="str">
        <x:v>Formula/result</x:v>
      </x:c>
      <x:c r="C5" s="63" t="str">
        <x:v>Status</x:v>
      </x:c>
    </x:row>
    <x:row r="6">
      <x:c r="A6" s="13" t="str">
        <x:v>Seven KPI rows</x:v>
      </x:c>
      <x:c r="B6" s="13" t="n">
        <x:f>COUNTA('KPI Benchmark'!A6:A12)</x:f>
        <x:v>7</x:v>
      </x:c>
      <x:c r="C6" s="13" t="str">
        <x:f>IF(B6=7,"PASS","FAIL")</x:f>
        <x:v>PASS</x:v>
      </x:c>
    </x:row>
    <x:row r="7">
      <x:c r="A7" s="13" t="str">
        <x:v>KPI target statuses populated</x:v>
      </x:c>
      <x:c r="B7" s="13" t="n">
        <x:f>COUNTA('KPI Benchmark'!G6:G12)</x:f>
        <x:v>7</x:v>
      </x:c>
      <x:c r="C7" s="13" t="str">
        <x:f>IF(B7=7,"PASS","FAIL")</x:f>
        <x:v>PASS</x:v>
      </x:c>
    </x:row>
    <x:row r="8">
      <x:c r="A8" s="13" t="str">
        <x:v>UAT scenario count = 28</x:v>
      </x:c>
      <x:c r="B8" s="13" t="n">
        <x:f>COUNTA('UAT Scenarios'!A6:A33)</x:f>
        <x:v>28</x:v>
      </x:c>
      <x:c r="C8" s="13" t="str">
        <x:f>IF(B8=28,"PASS","FAIL")</x:f>
        <x:v>PASS</x:v>
      </x:c>
    </x:row>
    <x:row r="9">
      <x:c r="A9" s="13" t="str">
        <x:v>Data-quality errors = 0</x:v>
      </x:c>
      <x:c r="B9" s="13" t="n">
        <x:f>'Data Quality'!B7</x:f>
        <x:v>0</x:v>
      </x:c>
      <x:c r="C9" s="13" t="str">
        <x:f>IF(B9=0,"PASS","FAIL")</x:f>
        <x:v>PASS</x:v>
      </x:c>
    </x:row>
    <x:row r="10">
      <x:c r="A10" s="13" t="str">
        <x:v>Agent approval bypass = 0</x:v>
      </x:c>
      <x:c r="B10" s="13" t="n">
        <x:f>'Go-Live Dashboard'!B9</x:f>
        <x:v>0</x:v>
      </x:c>
      <x:c r="C10" s="13" t="str">
        <x:f>IF(B10=0,"PASS","FAIL")</x:f>
        <x:v>PASS</x:v>
      </x:c>
    </x:row>
    <x:row r="11">
      <x:c r="A11" s="13" t="str">
        <x:v>Disclaimer present</x:v>
      </x:c>
      <x:c r="B11" s="13" t="n">
        <x:f>IF(LEN(Cover!B16)&gt;20,1,0)</x:f>
        <x:v>1</x:v>
      </x:c>
      <x:c r="C11" s="13" t="str">
        <x:f>IF(B11=1,"PASS","FAIL")</x:f>
        <x:v>PASS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38" hidden="0" customWidth="1"/>
    <x:col min="4" max="4" width="28" hidden="0" customWidth="1"/>
  </x:cols>
  <x:sheetData>
    <x:row r="1" ht="30" customHeight="1">
      <x:c r="A1" s="54" t="str">
        <x:v>Research and Evidence Sources</x:v>
      </x:c>
      <x:c r="B1" s="54"/>
      <x:c r="C1" s="54"/>
      <x:c r="D1" s="54"/>
    </x:row>
    <x:row r="2" ht="30" customHeight="1">
      <x:c r="A2" s="54"/>
      <x:c r="B2" s="54"/>
      <x:c r="C2" s="54"/>
      <x:c r="D2" s="54"/>
    </x:row>
    <x:row r="3" ht="30" customHeight="1">
      <x:c r="A3" s="58" t="str">
        <x:v>Primary references used for MCP, observability, agent and receivables design.</x:v>
      </x:c>
      <x:c r="B3" s="58"/>
      <x:c r="C3" s="58"/>
      <x:c r="D3" s="58"/>
    </x:row>
    <x:row r="5">
      <x:c r="A5" s="63" t="str">
        <x:v>Source</x:v>
      </x:c>
      <x:c r="B5" s="63" t="str">
        <x:v>URL</x:v>
      </x:c>
      <x:c r="C5" s="63" t="str">
        <x:v>Used for</x:v>
      </x:c>
      <x:c r="D5" s="63" t="str">
        <x:v>Retrieved</x:v>
      </x:c>
    </x:row>
    <x:row r="6">
      <x:c r="A6" s="13" t="str">
        <x:v>MCP Python SDK</x:v>
      </x:c>
      <x:c r="B6" s="13" t="str">
        <x:v>https://github.com/modelcontextprotocol/python-sdk</x:v>
      </x:c>
      <x:c r="C6" s="13" t="str">
        <x:v>Tools, resources, prompts and transports</x:v>
      </x:c>
      <x:c r="D6" s="13" t="str">
        <x:v>Accessed 2026-08-16</x:v>
      </x:c>
    </x:row>
    <x:row r="7">
      <x:c r="A7" s="13" t="str">
        <x:v>MCP specification</x:v>
      </x:c>
      <x:c r="B7" s="13" t="str">
        <x:v>https://modelcontextprotocol.io/specification/2025-06-18/basic/index</x:v>
      </x:c>
      <x:c r="C7" s="13" t="str">
        <x:v>Client/server primitives</x:v>
      </x:c>
      <x:c r="D7" s="13" t="str">
        <x:v>Accessed 2026-08-16</x:v>
      </x:c>
    </x:row>
    <x:row r="8">
      <x:c r="A8" s="13" t="str">
        <x:v>OpenTelemetry GenAI registry</x:v>
      </x:c>
      <x:c r="B8" s="13" t="str">
        <x:v>https://opentelemetry.io/docs/specs/semconv/registry/attributes/gen-ai/</x:v>
      </x:c>
      <x:c r="C8" s="13" t="str">
        <x:v>Agent/workflow/tool semantic attributes</x:v>
      </x:c>
      <x:c r="D8" s="13" t="str">
        <x:v>Accessed 2026-08-16</x:v>
      </x:c>
    </x:row>
    <x:row r="9">
      <x:c r="A9" s="13" t="str">
        <x:v>SAP partial vs residual</x:v>
      </x:c>
      <x:c r="B9" s="13" t="str">
        <x:v>https://help.sap.com/docs/SAP_S4HANA_CLOUD/918bca53037f408f91a2295d04ac16bc/279bad94d6414e05aab0cacf42eb3803.html</x:v>
      </x:c>
      <x:c r="C9" s="13" t="str">
        <x:v>Partial-payment behavior</x:v>
      </x:c>
      <x:c r="D9" s="13" t="str">
        <x:v>Accessed 2026-08-16</x:v>
      </x:c>
    </x:row>
    <x:row r="10">
      <x:c r="A10" s="13" t="str">
        <x:v>Oracle Receivables Credit to Cash</x:v>
      </x:c>
      <x:c r="B10" s="13" t="str">
        <x:v>https://docs.oracle.com/en/cloud/saas/financials/26c/faofc/using-receivables-credit-to-cash.pdf</x:v>
      </x:c>
      <x:c r="C10" s="13" t="str">
        <x:v>Receipt/remittance context</x:v>
      </x:c>
      <x:c r="D10" s="13" t="str">
        <x:v>Accessed 2026-08-16</x:v>
      </x:c>
    </x:row>
    <x:row r="11">
      <x:c r="A11" s="13" t="str">
        <x:v>NetSuite customer payment</x:v>
      </x:c>
      <x:c r="B11" s="13" t="str">
        <x:v>https://docs.oracle.com/en/cloud/saas/netsuite/ns-online-help/section_N3667711.html</x:v>
      </x:c>
      <x:c r="C11" s="13" t="str">
        <x:v>Payment and auto-apply context</x:v>
      </x:c>
      <x:c r="D11" s="13" t="str">
        <x:v>Accessed 2026-08-16</x:v>
      </x:c>
    </x:row>
    <x:row r="12">
      <x:c r="A12" s="13" t="str">
        <x:v>OpenAI model guidance</x:v>
      </x:c>
      <x:c r="B12" s="13" t="str">
        <x:v>https://developers.openai.com/api/docs/guides/latest-model</x:v>
      </x:c>
      <x:c r="C12" s="13" t="str">
        <x:v>Optional multi-agent model path</x:v>
      </x:c>
      <x:c r="D12" s="13" t="str">
        <x:v>Accessed 2026-08-16</x:v>
      </x:c>
    </x:row>
  </x:sheetData>
  <x:mergeCells>
    <x:mergeCell ref="A1:D2"/>
    <x:mergeCell ref="A3:D3"/>
  </x:mergeCells>
  <x:pageMargins left="0.7" right="0.7" top="0.75" bottom="0.75" header="0.3" footer="0.3"/>
</x:worksheet>
</file>